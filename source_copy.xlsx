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92.168.3.150\Dados\HV IMOVEIS\U.1-USUÁRIOS\FERNANDO\HILL VALLEY IMOVEIS\FAMILIA KEUTENEDJIAN\FAMILIA KEUTENEDJIAN_RELATORIOS\FAMILIA KEUTENEDJIAN-PRESTACAO DE CONTAS\"/>
    </mc:Choice>
  </mc:AlternateContent>
  <xr:revisionPtr revIDLastSave="0" documentId="13_ncr:1_{9CA727D3-443A-4639-9FA9-BF2B61DD5ED5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Receitas" sheetId="4" r:id="rId1"/>
    <sheet name="Dist. Receitas" sheetId="2" r:id="rId2"/>
    <sheet name="Dist. Despesas" sheetId="3" r:id="rId3"/>
    <sheet name="Saldo Individual" sheetId="1" r:id="rId4"/>
  </sheets>
  <definedNames>
    <definedName name="_xlnm.Print_Area" localSheetId="2">'Dist. Despesas'!$A$1:$AA$66</definedName>
    <definedName name="_xlnm.Print_Area" localSheetId="1">'Dist. Receitas'!$A$1:$AI$305</definedName>
    <definedName name="_xlnm.Print_Area" localSheetId="0">Receitas!$A$1:$N$300</definedName>
    <definedName name="_xlnm.Print_Area" localSheetId="3">'Saldo Individual'!$A$1:$G$53</definedName>
    <definedName name="_xlnm.Print_Titles" localSheetId="1">'Dist. Receitas'!$2:$6</definedName>
    <definedName name="_xlnm.Print_Titles" localSheetId="0">Receitas!$2:$7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3" l="1"/>
  <c r="D38" i="3"/>
  <c r="C33" i="3"/>
  <c r="C34" i="3"/>
  <c r="C41" i="3"/>
  <c r="C48" i="3"/>
  <c r="C47" i="3"/>
  <c r="C39" i="3"/>
  <c r="C40" i="3"/>
  <c r="C44" i="3"/>
  <c r="C46" i="3"/>
  <c r="C56" i="3"/>
  <c r="C55" i="3"/>
  <c r="C24" i="3"/>
  <c r="C43" i="3" l="1"/>
  <c r="C45" i="3"/>
  <c r="C52" i="3"/>
  <c r="C53" i="3"/>
  <c r="C54" i="3"/>
  <c r="C11" i="3"/>
  <c r="M301" i="2"/>
  <c r="K301" i="2"/>
  <c r="M300" i="2"/>
  <c r="K300" i="2"/>
  <c r="M299" i="2"/>
  <c r="K299" i="2"/>
  <c r="M298" i="2"/>
  <c r="K298" i="2"/>
  <c r="M297" i="2"/>
  <c r="K297" i="2"/>
  <c r="M296" i="2"/>
  <c r="K296" i="2"/>
  <c r="M295" i="2"/>
  <c r="K295" i="2"/>
  <c r="M294" i="2"/>
  <c r="K294" i="2"/>
  <c r="M293" i="2"/>
  <c r="K293" i="2"/>
  <c r="M292" i="2"/>
  <c r="K292" i="2"/>
  <c r="D291" i="2"/>
  <c r="M291" i="2" s="1"/>
  <c r="M290" i="2"/>
  <c r="K290" i="2"/>
  <c r="M289" i="2"/>
  <c r="K289" i="2"/>
  <c r="M288" i="2"/>
  <c r="K288" i="2"/>
  <c r="M287" i="2"/>
  <c r="K287" i="2"/>
  <c r="M286" i="2"/>
  <c r="K286" i="2"/>
  <c r="M285" i="2"/>
  <c r="K285" i="2"/>
  <c r="M284" i="2"/>
  <c r="K284" i="2"/>
  <c r="M283" i="2"/>
  <c r="K283" i="2"/>
  <c r="M282" i="2"/>
  <c r="K282" i="2"/>
  <c r="M281" i="2"/>
  <c r="K281" i="2"/>
  <c r="M280" i="2"/>
  <c r="K280" i="2"/>
  <c r="M279" i="2"/>
  <c r="K279" i="2"/>
  <c r="M278" i="2"/>
  <c r="K278" i="2"/>
  <c r="M277" i="2"/>
  <c r="K277" i="2"/>
  <c r="M276" i="2"/>
  <c r="K276" i="2"/>
  <c r="M275" i="2"/>
  <c r="K275" i="2"/>
  <c r="M274" i="2"/>
  <c r="K274" i="2"/>
  <c r="M273" i="2"/>
  <c r="K273" i="2"/>
  <c r="M272" i="2"/>
  <c r="K272" i="2"/>
  <c r="M271" i="2"/>
  <c r="K271" i="2"/>
  <c r="C270" i="2"/>
  <c r="K270" i="2" s="1"/>
  <c r="M269" i="2"/>
  <c r="K269" i="2"/>
  <c r="M268" i="2"/>
  <c r="K268" i="2"/>
  <c r="M267" i="2"/>
  <c r="K267" i="2"/>
  <c r="M266" i="2"/>
  <c r="K266" i="2"/>
  <c r="M265" i="2"/>
  <c r="K265" i="2"/>
  <c r="M264" i="2"/>
  <c r="K264" i="2"/>
  <c r="M263" i="2"/>
  <c r="K263" i="2"/>
  <c r="C263" i="2"/>
  <c r="M262" i="2"/>
  <c r="K262" i="2"/>
  <c r="M261" i="2"/>
  <c r="K261" i="2"/>
  <c r="M260" i="2"/>
  <c r="K260" i="2"/>
  <c r="C260" i="2"/>
  <c r="C259" i="2"/>
  <c r="M259" i="2" s="1"/>
  <c r="C258" i="2"/>
  <c r="K258" i="2" s="1"/>
  <c r="M257" i="2"/>
  <c r="K257" i="2"/>
  <c r="C256" i="2"/>
  <c r="K256" i="2" s="1"/>
  <c r="M255" i="2"/>
  <c r="C255" i="2"/>
  <c r="K255" i="2" s="1"/>
  <c r="C254" i="2"/>
  <c r="M254" i="2" s="1"/>
  <c r="M253" i="2"/>
  <c r="K253" i="2"/>
  <c r="D252" i="2"/>
  <c r="M252" i="2" s="1"/>
  <c r="M251" i="2"/>
  <c r="K251" i="2"/>
  <c r="M250" i="2"/>
  <c r="K250" i="2"/>
  <c r="M249" i="2"/>
  <c r="K249" i="2"/>
  <c r="M248" i="2"/>
  <c r="K248" i="2"/>
  <c r="M247" i="2"/>
  <c r="K247" i="2"/>
  <c r="C247" i="2"/>
  <c r="M246" i="2"/>
  <c r="K246" i="2"/>
  <c r="M245" i="2"/>
  <c r="K245" i="2"/>
  <c r="M244" i="2"/>
  <c r="K244" i="2"/>
  <c r="M243" i="2"/>
  <c r="K243" i="2"/>
  <c r="M242" i="2"/>
  <c r="K242" i="2"/>
  <c r="M241" i="2"/>
  <c r="K241" i="2"/>
  <c r="D240" i="2"/>
  <c r="K240" i="2" s="1"/>
  <c r="M239" i="2"/>
  <c r="K239" i="2"/>
  <c r="M238" i="2"/>
  <c r="K238" i="2"/>
  <c r="C238" i="2"/>
  <c r="M237" i="2"/>
  <c r="K237" i="2"/>
  <c r="M236" i="2"/>
  <c r="K236" i="2"/>
  <c r="M235" i="2"/>
  <c r="K235" i="2"/>
  <c r="M234" i="2"/>
  <c r="K234" i="2"/>
  <c r="C233" i="2"/>
  <c r="M233" i="2" s="1"/>
  <c r="C232" i="2"/>
  <c r="K232" i="2" s="1"/>
  <c r="M231" i="2"/>
  <c r="K231" i="2"/>
  <c r="M230" i="2"/>
  <c r="K230" i="2"/>
  <c r="M229" i="2"/>
  <c r="K229" i="2"/>
  <c r="M228" i="2"/>
  <c r="K228" i="2"/>
  <c r="C227" i="2"/>
  <c r="K227" i="2" s="1"/>
  <c r="M226" i="2"/>
  <c r="C226" i="2"/>
  <c r="K226" i="2" s="1"/>
  <c r="D225" i="2"/>
  <c r="M225" i="2" s="1"/>
  <c r="M224" i="2"/>
  <c r="K224" i="2"/>
  <c r="M223" i="2"/>
  <c r="K223" i="2"/>
  <c r="M222" i="2"/>
  <c r="K222" i="2"/>
  <c r="M221" i="2"/>
  <c r="K221" i="2"/>
  <c r="M220" i="2"/>
  <c r="K220" i="2"/>
  <c r="M219" i="2"/>
  <c r="K219" i="2"/>
  <c r="M218" i="2"/>
  <c r="K218" i="2"/>
  <c r="M217" i="2"/>
  <c r="K217" i="2"/>
  <c r="M216" i="2"/>
  <c r="K216" i="2"/>
  <c r="M215" i="2"/>
  <c r="K215" i="2"/>
  <c r="M214" i="2"/>
  <c r="K214" i="2"/>
  <c r="M213" i="2"/>
  <c r="K213" i="2"/>
  <c r="M212" i="2"/>
  <c r="K212" i="2"/>
  <c r="M211" i="2"/>
  <c r="K211" i="2"/>
  <c r="M210" i="2"/>
  <c r="K210" i="2"/>
  <c r="M209" i="2"/>
  <c r="K209" i="2"/>
  <c r="M208" i="2"/>
  <c r="K208" i="2"/>
  <c r="M207" i="2"/>
  <c r="C207" i="2"/>
  <c r="K207" i="2" s="1"/>
  <c r="D206" i="2"/>
  <c r="M206" i="2" s="1"/>
  <c r="M205" i="2"/>
  <c r="K205" i="2"/>
  <c r="M204" i="2"/>
  <c r="K204" i="2"/>
  <c r="M203" i="2"/>
  <c r="K203" i="2"/>
  <c r="M202" i="2"/>
  <c r="K202" i="2"/>
  <c r="M201" i="2"/>
  <c r="K201" i="2"/>
  <c r="M200" i="2"/>
  <c r="K200" i="2"/>
  <c r="M199" i="2"/>
  <c r="K199" i="2"/>
  <c r="M198" i="2"/>
  <c r="K198" i="2"/>
  <c r="M197" i="2"/>
  <c r="M196" i="2"/>
  <c r="K196" i="2"/>
  <c r="M195" i="2"/>
  <c r="K195" i="2"/>
  <c r="M194" i="2"/>
  <c r="K194" i="2"/>
  <c r="M193" i="2"/>
  <c r="K193" i="2"/>
  <c r="M192" i="2"/>
  <c r="M191" i="2"/>
  <c r="K191" i="2"/>
  <c r="M190" i="2"/>
  <c r="K190" i="2"/>
  <c r="M189" i="2"/>
  <c r="K189" i="2"/>
  <c r="K188" i="2"/>
  <c r="C188" i="2"/>
  <c r="M188" i="2" s="1"/>
  <c r="C187" i="2"/>
  <c r="M187" i="2" s="1"/>
  <c r="M186" i="2"/>
  <c r="M185" i="2"/>
  <c r="K185" i="2"/>
  <c r="D184" i="2"/>
  <c r="C184" i="2"/>
  <c r="K184" i="2" s="1"/>
  <c r="M183" i="2"/>
  <c r="K183" i="2"/>
  <c r="C183" i="2"/>
  <c r="M182" i="2"/>
  <c r="K182" i="2"/>
  <c r="M181" i="2"/>
  <c r="K181" i="2"/>
  <c r="M180" i="2"/>
  <c r="K180" i="2"/>
  <c r="M179" i="2"/>
  <c r="C179" i="2"/>
  <c r="K179" i="2" s="1"/>
  <c r="M178" i="2"/>
  <c r="K178" i="2"/>
  <c r="M177" i="2"/>
  <c r="K177" i="2"/>
  <c r="M176" i="2"/>
  <c r="K176" i="2"/>
  <c r="M175" i="2"/>
  <c r="K175" i="2"/>
  <c r="M174" i="2"/>
  <c r="K174" i="2"/>
  <c r="C174" i="2"/>
  <c r="C173" i="2"/>
  <c r="M173" i="2" s="1"/>
  <c r="M172" i="2"/>
  <c r="K172" i="2"/>
  <c r="M171" i="2"/>
  <c r="K171" i="2"/>
  <c r="M170" i="2"/>
  <c r="K170" i="2"/>
  <c r="C169" i="2"/>
  <c r="M169" i="2" s="1"/>
  <c r="M168" i="2"/>
  <c r="K168" i="2"/>
  <c r="M167" i="2"/>
  <c r="K167" i="2"/>
  <c r="M166" i="2"/>
  <c r="K166" i="2"/>
  <c r="M165" i="2"/>
  <c r="K165" i="2"/>
  <c r="M164" i="2"/>
  <c r="K164" i="2"/>
  <c r="M163" i="2"/>
  <c r="K163" i="2"/>
  <c r="M162" i="2"/>
  <c r="K162" i="2"/>
  <c r="M161" i="2"/>
  <c r="K161" i="2"/>
  <c r="M160" i="2"/>
  <c r="K160" i="2"/>
  <c r="M159" i="2"/>
  <c r="K159" i="2"/>
  <c r="M158" i="2"/>
  <c r="K158" i="2"/>
  <c r="M157" i="2"/>
  <c r="K157" i="2"/>
  <c r="M156" i="2"/>
  <c r="K156" i="2"/>
  <c r="M155" i="2"/>
  <c r="K155" i="2"/>
  <c r="M154" i="2"/>
  <c r="K154" i="2"/>
  <c r="M153" i="2"/>
  <c r="K153" i="2"/>
  <c r="C152" i="2"/>
  <c r="M152" i="2" s="1"/>
  <c r="M151" i="2"/>
  <c r="K151" i="2"/>
  <c r="C150" i="2"/>
  <c r="M150" i="2" s="1"/>
  <c r="C149" i="2"/>
  <c r="K149" i="2" s="1"/>
  <c r="C148" i="2"/>
  <c r="M148" i="2" s="1"/>
  <c r="M147" i="2"/>
  <c r="K147" i="2"/>
  <c r="C146" i="2"/>
  <c r="M146" i="2" s="1"/>
  <c r="C145" i="2"/>
  <c r="K145" i="2" s="1"/>
  <c r="M144" i="2"/>
  <c r="C144" i="2"/>
  <c r="K144" i="2" s="1"/>
  <c r="C143" i="2"/>
  <c r="M143" i="2" s="1"/>
  <c r="M142" i="2"/>
  <c r="K142" i="2"/>
  <c r="M141" i="2"/>
  <c r="K141" i="2"/>
  <c r="M140" i="2"/>
  <c r="K140" i="2"/>
  <c r="M139" i="2"/>
  <c r="K139" i="2"/>
  <c r="M138" i="2"/>
  <c r="K138" i="2"/>
  <c r="C137" i="2"/>
  <c r="M137" i="2" s="1"/>
  <c r="M136" i="2"/>
  <c r="K136" i="2"/>
  <c r="M135" i="2"/>
  <c r="K135" i="2"/>
  <c r="M134" i="2"/>
  <c r="K134" i="2"/>
  <c r="M133" i="2"/>
  <c r="K133" i="2"/>
  <c r="M132" i="2"/>
  <c r="K132" i="2"/>
  <c r="M131" i="2"/>
  <c r="K131" i="2"/>
  <c r="M130" i="2"/>
  <c r="K130" i="2"/>
  <c r="M129" i="2"/>
  <c r="K129" i="2"/>
  <c r="M128" i="2"/>
  <c r="K128" i="2"/>
  <c r="M127" i="2"/>
  <c r="K127" i="2"/>
  <c r="M126" i="2"/>
  <c r="K126" i="2"/>
  <c r="M125" i="2"/>
  <c r="K125" i="2"/>
  <c r="M124" i="2"/>
  <c r="K124" i="2"/>
  <c r="C123" i="2"/>
  <c r="M123" i="2" s="1"/>
  <c r="M122" i="2"/>
  <c r="K122" i="2"/>
  <c r="M121" i="2"/>
  <c r="K121" i="2"/>
  <c r="M120" i="2"/>
  <c r="K120" i="2"/>
  <c r="M119" i="2"/>
  <c r="K119" i="2"/>
  <c r="C118" i="2"/>
  <c r="M118" i="2" s="1"/>
  <c r="M117" i="2"/>
  <c r="K117" i="2"/>
  <c r="M116" i="2"/>
  <c r="K116" i="2"/>
  <c r="M115" i="2"/>
  <c r="K115" i="2"/>
  <c r="M114" i="2"/>
  <c r="K114" i="2"/>
  <c r="M113" i="2"/>
  <c r="K113" i="2"/>
  <c r="M112" i="2"/>
  <c r="K112" i="2"/>
  <c r="M111" i="2"/>
  <c r="K111" i="2"/>
  <c r="C111" i="2"/>
  <c r="M110" i="2"/>
  <c r="K110" i="2"/>
  <c r="M109" i="2"/>
  <c r="K109" i="2"/>
  <c r="M108" i="2"/>
  <c r="K108" i="2"/>
  <c r="M107" i="2"/>
  <c r="C107" i="2"/>
  <c r="K107" i="2" s="1"/>
  <c r="C106" i="2"/>
  <c r="M106" i="2" s="1"/>
  <c r="M105" i="2"/>
  <c r="K105" i="2"/>
  <c r="M104" i="2"/>
  <c r="K104" i="2"/>
  <c r="D103" i="2"/>
  <c r="M103" i="2" s="1"/>
  <c r="M102" i="2"/>
  <c r="K102" i="2"/>
  <c r="M101" i="2"/>
  <c r="K101" i="2"/>
  <c r="M100" i="2"/>
  <c r="K100" i="2"/>
  <c r="M99" i="2"/>
  <c r="K99" i="2"/>
  <c r="C99" i="2"/>
  <c r="M98" i="2"/>
  <c r="K98" i="2"/>
  <c r="C97" i="2"/>
  <c r="M97" i="2" s="1"/>
  <c r="C96" i="2"/>
  <c r="K96" i="2" s="1"/>
  <c r="C95" i="2"/>
  <c r="M95" i="2" s="1"/>
  <c r="M94" i="2"/>
  <c r="K94" i="2"/>
  <c r="M93" i="2"/>
  <c r="K93" i="2"/>
  <c r="M92" i="2"/>
  <c r="K92" i="2"/>
  <c r="M91" i="2"/>
  <c r="K91" i="2"/>
  <c r="M90" i="2"/>
  <c r="K90" i="2"/>
  <c r="M89" i="2"/>
  <c r="K89" i="2"/>
  <c r="M88" i="2"/>
  <c r="K88" i="2"/>
  <c r="M87" i="2"/>
  <c r="K87" i="2"/>
  <c r="M86" i="2"/>
  <c r="K86" i="2"/>
  <c r="M85" i="2"/>
  <c r="K85" i="2"/>
  <c r="M84" i="2"/>
  <c r="C84" i="2"/>
  <c r="K84" i="2" s="1"/>
  <c r="M83" i="2"/>
  <c r="K83" i="2"/>
  <c r="M82" i="2"/>
  <c r="K82" i="2"/>
  <c r="M81" i="2"/>
  <c r="K81" i="2"/>
  <c r="C80" i="2"/>
  <c r="M80" i="2" s="1"/>
  <c r="M79" i="2"/>
  <c r="K79" i="2"/>
  <c r="M78" i="2"/>
  <c r="K78" i="2"/>
  <c r="M77" i="2"/>
  <c r="K77" i="2"/>
  <c r="M76" i="2"/>
  <c r="K76" i="2"/>
  <c r="C76" i="2"/>
  <c r="M75" i="2"/>
  <c r="K75" i="2"/>
  <c r="M74" i="2"/>
  <c r="K74" i="2"/>
  <c r="M73" i="2"/>
  <c r="K73" i="2"/>
  <c r="M72" i="2"/>
  <c r="K72" i="2"/>
  <c r="M71" i="2"/>
  <c r="K71" i="2"/>
  <c r="M70" i="2"/>
  <c r="K70" i="2"/>
  <c r="M69" i="2"/>
  <c r="K69" i="2"/>
  <c r="C68" i="2"/>
  <c r="M68" i="2" s="1"/>
  <c r="M67" i="2"/>
  <c r="K67" i="2"/>
  <c r="D67" i="2"/>
  <c r="M66" i="2"/>
  <c r="K66" i="2"/>
  <c r="M65" i="2"/>
  <c r="K65" i="2"/>
  <c r="M64" i="2"/>
  <c r="K64" i="2"/>
  <c r="M63" i="2"/>
  <c r="K63" i="2"/>
  <c r="C62" i="2"/>
  <c r="M62" i="2" s="1"/>
  <c r="M61" i="2"/>
  <c r="K61" i="2"/>
  <c r="M60" i="2"/>
  <c r="K60" i="2"/>
  <c r="M59" i="2"/>
  <c r="K59" i="2"/>
  <c r="M58" i="2"/>
  <c r="K58" i="2"/>
  <c r="M57" i="2"/>
  <c r="K57" i="2"/>
  <c r="M56" i="2"/>
  <c r="K56" i="2"/>
  <c r="M55" i="2"/>
  <c r="K55" i="2"/>
  <c r="M54" i="2"/>
  <c r="M53" i="2"/>
  <c r="K53" i="2"/>
  <c r="M52" i="2"/>
  <c r="K52" i="2"/>
  <c r="M51" i="2"/>
  <c r="K51" i="2"/>
  <c r="M50" i="2"/>
  <c r="K50" i="2"/>
  <c r="M49" i="2"/>
  <c r="K49" i="2"/>
  <c r="M48" i="2"/>
  <c r="K48" i="2"/>
  <c r="M47" i="2"/>
  <c r="K47" i="2"/>
  <c r="M46" i="2"/>
  <c r="K46" i="2"/>
  <c r="C45" i="2"/>
  <c r="M45" i="2" s="1"/>
  <c r="M44" i="2"/>
  <c r="K44" i="2"/>
  <c r="D44" i="2"/>
  <c r="C43" i="2"/>
  <c r="M43" i="2" s="1"/>
  <c r="M42" i="2"/>
  <c r="K42" i="2"/>
  <c r="C41" i="2"/>
  <c r="M41" i="2" s="1"/>
  <c r="M40" i="2"/>
  <c r="K40" i="2"/>
  <c r="M39" i="2"/>
  <c r="K39" i="2"/>
  <c r="C38" i="2"/>
  <c r="M38" i="2" s="1"/>
  <c r="C37" i="2"/>
  <c r="K37" i="2" s="1"/>
  <c r="M36" i="2"/>
  <c r="C36" i="2"/>
  <c r="K36" i="2" s="1"/>
  <c r="M35" i="2"/>
  <c r="K35" i="2"/>
  <c r="C34" i="2"/>
  <c r="M34" i="2" s="1"/>
  <c r="C33" i="2"/>
  <c r="K33" i="2" s="1"/>
  <c r="M32" i="2"/>
  <c r="K32" i="2"/>
  <c r="M31" i="2"/>
  <c r="K31" i="2"/>
  <c r="M30" i="2"/>
  <c r="K30" i="2"/>
  <c r="G29" i="2"/>
  <c r="C29" i="2"/>
  <c r="K29" i="2" s="1"/>
  <c r="M28" i="2"/>
  <c r="K28" i="2"/>
  <c r="M27" i="2"/>
  <c r="K27" i="2"/>
  <c r="C26" i="2"/>
  <c r="M26" i="2" s="1"/>
  <c r="C25" i="2"/>
  <c r="M25" i="2" s="1"/>
  <c r="M24" i="2"/>
  <c r="K24" i="2"/>
  <c r="M23" i="2"/>
  <c r="K23" i="2"/>
  <c r="M22" i="2"/>
  <c r="K22" i="2"/>
  <c r="M21" i="2"/>
  <c r="K21" i="2"/>
  <c r="M20" i="2"/>
  <c r="K20" i="2"/>
  <c r="M19" i="2"/>
  <c r="K19" i="2"/>
  <c r="M18" i="2"/>
  <c r="K18" i="2"/>
  <c r="C17" i="2"/>
  <c r="K17" i="2" s="1"/>
  <c r="L13" i="2"/>
  <c r="I13" i="2"/>
  <c r="C13" i="2"/>
  <c r="M13" i="2" s="1"/>
  <c r="C12" i="2"/>
  <c r="M12" i="2" s="1"/>
  <c r="M11" i="2"/>
  <c r="K11" i="2"/>
  <c r="M10" i="2"/>
  <c r="K10" i="2"/>
  <c r="C9" i="3"/>
  <c r="J297" i="4"/>
  <c r="H297" i="4"/>
  <c r="F297" i="4"/>
  <c r="E297" i="4"/>
  <c r="M296" i="4"/>
  <c r="K296" i="4"/>
  <c r="M295" i="4"/>
  <c r="K295" i="4"/>
  <c r="M294" i="4"/>
  <c r="K294" i="4"/>
  <c r="M293" i="4"/>
  <c r="K293" i="4"/>
  <c r="M292" i="4"/>
  <c r="K292" i="4"/>
  <c r="M291" i="4"/>
  <c r="K291" i="4"/>
  <c r="M290" i="4"/>
  <c r="K290" i="4"/>
  <c r="M289" i="4"/>
  <c r="K289" i="4"/>
  <c r="M288" i="4"/>
  <c r="K288" i="4"/>
  <c r="M287" i="4"/>
  <c r="K287" i="4"/>
  <c r="D286" i="4"/>
  <c r="M286" i="4" s="1"/>
  <c r="M285" i="4"/>
  <c r="K285" i="4"/>
  <c r="M284" i="4"/>
  <c r="K284" i="4"/>
  <c r="M283" i="4"/>
  <c r="K283" i="4"/>
  <c r="M282" i="4"/>
  <c r="K282" i="4"/>
  <c r="M281" i="4"/>
  <c r="K281" i="4"/>
  <c r="M280" i="4"/>
  <c r="K280" i="4"/>
  <c r="M279" i="4"/>
  <c r="K279" i="4"/>
  <c r="M278" i="4"/>
  <c r="K278" i="4"/>
  <c r="M277" i="4"/>
  <c r="K277" i="4"/>
  <c r="M276" i="4"/>
  <c r="K276" i="4"/>
  <c r="M275" i="4"/>
  <c r="K275" i="4"/>
  <c r="M274" i="4"/>
  <c r="K274" i="4"/>
  <c r="M273" i="4"/>
  <c r="K273" i="4"/>
  <c r="M272" i="4"/>
  <c r="K272" i="4"/>
  <c r="M271" i="4"/>
  <c r="K271" i="4"/>
  <c r="M270" i="4"/>
  <c r="K270" i="4"/>
  <c r="M269" i="4"/>
  <c r="K269" i="4"/>
  <c r="M268" i="4"/>
  <c r="K268" i="4"/>
  <c r="M267" i="4"/>
  <c r="K267" i="4"/>
  <c r="M266" i="4"/>
  <c r="K266" i="4"/>
  <c r="C265" i="4"/>
  <c r="K265" i="4" s="1"/>
  <c r="M264" i="4"/>
  <c r="K264" i="4"/>
  <c r="M263" i="4"/>
  <c r="K263" i="4"/>
  <c r="M262" i="4"/>
  <c r="K262" i="4"/>
  <c r="M261" i="4"/>
  <c r="K261" i="4"/>
  <c r="M260" i="4"/>
  <c r="K260" i="4"/>
  <c r="M259" i="4"/>
  <c r="K259" i="4"/>
  <c r="C258" i="4"/>
  <c r="M258" i="4" s="1"/>
  <c r="M257" i="4"/>
  <c r="K257" i="4"/>
  <c r="M256" i="4"/>
  <c r="K256" i="4"/>
  <c r="C255" i="4"/>
  <c r="M255" i="4" s="1"/>
  <c r="M254" i="4"/>
  <c r="K254" i="4"/>
  <c r="C254" i="4"/>
  <c r="K253" i="4"/>
  <c r="C253" i="4"/>
  <c r="M253" i="4" s="1"/>
  <c r="M252" i="4"/>
  <c r="K252" i="4"/>
  <c r="M251" i="4"/>
  <c r="K251" i="4"/>
  <c r="C251" i="4"/>
  <c r="C250" i="4"/>
  <c r="M250" i="4" s="1"/>
  <c r="C249" i="4"/>
  <c r="M249" i="4" s="1"/>
  <c r="M248" i="4"/>
  <c r="K248" i="4"/>
  <c r="M247" i="4"/>
  <c r="K247" i="4"/>
  <c r="D247" i="4"/>
  <c r="M246" i="4"/>
  <c r="K246" i="4"/>
  <c r="M245" i="4"/>
  <c r="K245" i="4"/>
  <c r="M244" i="4"/>
  <c r="K244" i="4"/>
  <c r="M243" i="4"/>
  <c r="K243" i="4"/>
  <c r="C242" i="4"/>
  <c r="M242" i="4" s="1"/>
  <c r="M241" i="4"/>
  <c r="K241" i="4"/>
  <c r="M240" i="4"/>
  <c r="K240" i="4"/>
  <c r="M239" i="4"/>
  <c r="K239" i="4"/>
  <c r="M238" i="4"/>
  <c r="K238" i="4"/>
  <c r="M237" i="4"/>
  <c r="K237" i="4"/>
  <c r="M236" i="4"/>
  <c r="K236" i="4"/>
  <c r="K235" i="4"/>
  <c r="D235" i="4"/>
  <c r="M235" i="4" s="1"/>
  <c r="M234" i="4"/>
  <c r="K234" i="4"/>
  <c r="C233" i="4"/>
  <c r="M233" i="4" s="1"/>
  <c r="M232" i="4"/>
  <c r="K232" i="4"/>
  <c r="M231" i="4"/>
  <c r="K231" i="4"/>
  <c r="M230" i="4"/>
  <c r="K230" i="4"/>
  <c r="M229" i="4"/>
  <c r="K229" i="4"/>
  <c r="M228" i="4"/>
  <c r="K228" i="4"/>
  <c r="C228" i="4"/>
  <c r="C227" i="4"/>
  <c r="M227" i="4" s="1"/>
  <c r="M226" i="4"/>
  <c r="K226" i="4"/>
  <c r="M225" i="4"/>
  <c r="K225" i="4"/>
  <c r="M224" i="4"/>
  <c r="K224" i="4"/>
  <c r="M223" i="4"/>
  <c r="K223" i="4"/>
  <c r="C222" i="4"/>
  <c r="K222" i="4" s="1"/>
  <c r="M221" i="4"/>
  <c r="K221" i="4"/>
  <c r="C221" i="4"/>
  <c r="M220" i="4"/>
  <c r="D220" i="4"/>
  <c r="K220" i="4" s="1"/>
  <c r="M219" i="4"/>
  <c r="K219" i="4"/>
  <c r="M218" i="4"/>
  <c r="K218" i="4"/>
  <c r="M217" i="4"/>
  <c r="K217" i="4"/>
  <c r="M216" i="4"/>
  <c r="K216" i="4"/>
  <c r="M215" i="4"/>
  <c r="K215" i="4"/>
  <c r="M214" i="4"/>
  <c r="K214" i="4"/>
  <c r="M213" i="4"/>
  <c r="K213" i="4"/>
  <c r="M212" i="4"/>
  <c r="K212" i="4"/>
  <c r="M211" i="4"/>
  <c r="K211" i="4"/>
  <c r="M210" i="4"/>
  <c r="K210" i="4"/>
  <c r="M209" i="4"/>
  <c r="K209" i="4"/>
  <c r="M208" i="4"/>
  <c r="K208" i="4"/>
  <c r="M207" i="4"/>
  <c r="K207" i="4"/>
  <c r="M206" i="4"/>
  <c r="K206" i="4"/>
  <c r="M205" i="4"/>
  <c r="K205" i="4"/>
  <c r="M204" i="4"/>
  <c r="K204" i="4"/>
  <c r="M203" i="4"/>
  <c r="K203" i="4"/>
  <c r="M202" i="4"/>
  <c r="K202" i="4"/>
  <c r="C202" i="4"/>
  <c r="M201" i="4"/>
  <c r="K201" i="4"/>
  <c r="D201" i="4"/>
  <c r="M200" i="4"/>
  <c r="K200" i="4"/>
  <c r="M199" i="4"/>
  <c r="K199" i="4"/>
  <c r="M198" i="4"/>
  <c r="K198" i="4"/>
  <c r="M197" i="4"/>
  <c r="K197" i="4"/>
  <c r="M196" i="4"/>
  <c r="K196" i="4"/>
  <c r="M195" i="4"/>
  <c r="K195" i="4"/>
  <c r="M194" i="4"/>
  <c r="K194" i="4"/>
  <c r="M193" i="4"/>
  <c r="K193" i="4"/>
  <c r="M192" i="4"/>
  <c r="M191" i="4"/>
  <c r="K191" i="4"/>
  <c r="M190" i="4"/>
  <c r="K190" i="4"/>
  <c r="M189" i="4"/>
  <c r="K189" i="4"/>
  <c r="M188" i="4"/>
  <c r="K188" i="4"/>
  <c r="M187" i="4"/>
  <c r="M186" i="4"/>
  <c r="K186" i="4"/>
  <c r="M185" i="4"/>
  <c r="K185" i="4"/>
  <c r="M184" i="4"/>
  <c r="K184" i="4"/>
  <c r="C183" i="4"/>
  <c r="M183" i="4" s="1"/>
  <c r="M182" i="4"/>
  <c r="K182" i="4"/>
  <c r="C182" i="4"/>
  <c r="M181" i="4"/>
  <c r="M180" i="4"/>
  <c r="K180" i="4"/>
  <c r="D179" i="4"/>
  <c r="C179" i="4"/>
  <c r="M179" i="4" s="1"/>
  <c r="M178" i="4"/>
  <c r="C178" i="4"/>
  <c r="K178" i="4" s="1"/>
  <c r="M177" i="4"/>
  <c r="K177" i="4"/>
  <c r="M176" i="4"/>
  <c r="K176" i="4"/>
  <c r="M175" i="4"/>
  <c r="K175" i="4"/>
  <c r="M174" i="4"/>
  <c r="K174" i="4"/>
  <c r="C174" i="4"/>
  <c r="M173" i="4"/>
  <c r="K173" i="4"/>
  <c r="M172" i="4"/>
  <c r="K172" i="4"/>
  <c r="M171" i="4"/>
  <c r="K171" i="4"/>
  <c r="M170" i="4"/>
  <c r="K170" i="4"/>
  <c r="M169" i="4"/>
  <c r="C169" i="4"/>
  <c r="K169" i="4" s="1"/>
  <c r="C168" i="4"/>
  <c r="M168" i="4" s="1"/>
  <c r="M167" i="4"/>
  <c r="K167" i="4"/>
  <c r="M166" i="4"/>
  <c r="K166" i="4"/>
  <c r="M165" i="4"/>
  <c r="K165" i="4"/>
  <c r="M164" i="4"/>
  <c r="K164" i="4"/>
  <c r="C164" i="4"/>
  <c r="M163" i="4"/>
  <c r="K163" i="4"/>
  <c r="M162" i="4"/>
  <c r="K162" i="4"/>
  <c r="M161" i="4"/>
  <c r="K161" i="4"/>
  <c r="M160" i="4"/>
  <c r="K160" i="4"/>
  <c r="M159" i="4"/>
  <c r="K159" i="4"/>
  <c r="M158" i="4"/>
  <c r="K158" i="4"/>
  <c r="M157" i="4"/>
  <c r="K157" i="4"/>
  <c r="M156" i="4"/>
  <c r="K156" i="4"/>
  <c r="M155" i="4"/>
  <c r="K155" i="4"/>
  <c r="M154" i="4"/>
  <c r="K154" i="4"/>
  <c r="M153" i="4"/>
  <c r="K153" i="4"/>
  <c r="M152" i="4"/>
  <c r="K152" i="4"/>
  <c r="M151" i="4"/>
  <c r="K151" i="4"/>
  <c r="M150" i="4"/>
  <c r="K150" i="4"/>
  <c r="M149" i="4"/>
  <c r="K149" i="4"/>
  <c r="M148" i="4"/>
  <c r="K148" i="4"/>
  <c r="C147" i="4"/>
  <c r="M147" i="4" s="1"/>
  <c r="M146" i="4"/>
  <c r="K146" i="4"/>
  <c r="M145" i="4"/>
  <c r="K145" i="4"/>
  <c r="C145" i="4"/>
  <c r="C144" i="4"/>
  <c r="M144" i="4" s="1"/>
  <c r="C143" i="4"/>
  <c r="K143" i="4" s="1"/>
  <c r="M142" i="4"/>
  <c r="K142" i="4"/>
  <c r="C141" i="4"/>
  <c r="M141" i="4" s="1"/>
  <c r="C140" i="4"/>
  <c r="M140" i="4" s="1"/>
  <c r="M139" i="4"/>
  <c r="K139" i="4"/>
  <c r="C139" i="4"/>
  <c r="M138" i="4"/>
  <c r="K138" i="4"/>
  <c r="C138" i="4"/>
  <c r="M137" i="4"/>
  <c r="K137" i="4"/>
  <c r="M136" i="4"/>
  <c r="K136" i="4"/>
  <c r="M135" i="4"/>
  <c r="K135" i="4"/>
  <c r="M134" i="4"/>
  <c r="K134" i="4"/>
  <c r="M133" i="4"/>
  <c r="K133" i="4"/>
  <c r="C132" i="4"/>
  <c r="M132" i="4" s="1"/>
  <c r="M131" i="4"/>
  <c r="K131" i="4"/>
  <c r="M130" i="4"/>
  <c r="K130" i="4"/>
  <c r="M129" i="4"/>
  <c r="K129" i="4"/>
  <c r="M128" i="4"/>
  <c r="K128" i="4"/>
  <c r="M127" i="4"/>
  <c r="K127" i="4"/>
  <c r="M126" i="4"/>
  <c r="K126" i="4"/>
  <c r="M125" i="4"/>
  <c r="K125" i="4"/>
  <c r="M124" i="4"/>
  <c r="K124" i="4"/>
  <c r="M123" i="4"/>
  <c r="K123" i="4"/>
  <c r="M122" i="4"/>
  <c r="K122" i="4"/>
  <c r="M121" i="4"/>
  <c r="K121" i="4"/>
  <c r="M120" i="4"/>
  <c r="K120" i="4"/>
  <c r="M119" i="4"/>
  <c r="K119" i="4"/>
  <c r="K118" i="4"/>
  <c r="C118" i="4"/>
  <c r="M118" i="4" s="1"/>
  <c r="M117" i="4"/>
  <c r="K117" i="4"/>
  <c r="M116" i="4"/>
  <c r="K116" i="4"/>
  <c r="M115" i="4"/>
  <c r="K115" i="4"/>
  <c r="M114" i="4"/>
  <c r="K114" i="4"/>
  <c r="C113" i="4"/>
  <c r="M113" i="4" s="1"/>
  <c r="M112" i="4"/>
  <c r="K112" i="4"/>
  <c r="M111" i="4"/>
  <c r="K111" i="4"/>
  <c r="M110" i="4"/>
  <c r="K110" i="4"/>
  <c r="M109" i="4"/>
  <c r="K109" i="4"/>
  <c r="M108" i="4"/>
  <c r="K108" i="4"/>
  <c r="M107" i="4"/>
  <c r="K107" i="4"/>
  <c r="M106" i="4"/>
  <c r="C106" i="4"/>
  <c r="K106" i="4" s="1"/>
  <c r="M105" i="4"/>
  <c r="K105" i="4"/>
  <c r="M104" i="4"/>
  <c r="K104" i="4"/>
  <c r="M103" i="4"/>
  <c r="K103" i="4"/>
  <c r="M102" i="4"/>
  <c r="K102" i="4"/>
  <c r="C102" i="4"/>
  <c r="M101" i="4"/>
  <c r="K101" i="4"/>
  <c r="C101" i="4"/>
  <c r="M100" i="4"/>
  <c r="K100" i="4"/>
  <c r="M99" i="4"/>
  <c r="K99" i="4"/>
  <c r="M98" i="4"/>
  <c r="K98" i="4"/>
  <c r="D98" i="4"/>
  <c r="M97" i="4"/>
  <c r="K97" i="4"/>
  <c r="M96" i="4"/>
  <c r="K96" i="4"/>
  <c r="M95" i="4"/>
  <c r="K95" i="4"/>
  <c r="C94" i="4"/>
  <c r="M94" i="4" s="1"/>
  <c r="M93" i="4"/>
  <c r="K93" i="4"/>
  <c r="C92" i="4"/>
  <c r="M92" i="4" s="1"/>
  <c r="K91" i="4"/>
  <c r="C91" i="4"/>
  <c r="M91" i="4" s="1"/>
  <c r="M90" i="4"/>
  <c r="K90" i="4"/>
  <c r="C90" i="4"/>
  <c r="M89" i="4"/>
  <c r="K89" i="4"/>
  <c r="M88" i="4"/>
  <c r="K88" i="4"/>
  <c r="M87" i="4"/>
  <c r="K87" i="4"/>
  <c r="M86" i="4"/>
  <c r="K86" i="4"/>
  <c r="M85" i="4"/>
  <c r="K85" i="4"/>
  <c r="M84" i="4"/>
  <c r="K84" i="4"/>
  <c r="M83" i="4"/>
  <c r="K83" i="4"/>
  <c r="M82" i="4"/>
  <c r="K82" i="4"/>
  <c r="M81" i="4"/>
  <c r="K81" i="4"/>
  <c r="M80" i="4"/>
  <c r="K80" i="4"/>
  <c r="C79" i="4"/>
  <c r="M79" i="4" s="1"/>
  <c r="M78" i="4"/>
  <c r="K78" i="4"/>
  <c r="M77" i="4"/>
  <c r="K77" i="4"/>
  <c r="M76" i="4"/>
  <c r="K76" i="4"/>
  <c r="M75" i="4"/>
  <c r="K75" i="4"/>
  <c r="C75" i="4"/>
  <c r="M74" i="4"/>
  <c r="K74" i="4"/>
  <c r="M73" i="4"/>
  <c r="K73" i="4"/>
  <c r="M72" i="4"/>
  <c r="K72" i="4"/>
  <c r="M71" i="4"/>
  <c r="C71" i="4"/>
  <c r="K71" i="4" s="1"/>
  <c r="M70" i="4"/>
  <c r="K70" i="4"/>
  <c r="M69" i="4"/>
  <c r="K69" i="4"/>
  <c r="M68" i="4"/>
  <c r="K68" i="4"/>
  <c r="M67" i="4"/>
  <c r="K67" i="4"/>
  <c r="M66" i="4"/>
  <c r="K66" i="4"/>
  <c r="M65" i="4"/>
  <c r="K65" i="4"/>
  <c r="M64" i="4"/>
  <c r="K64" i="4"/>
  <c r="C63" i="4"/>
  <c r="M63" i="4" s="1"/>
  <c r="M62" i="4"/>
  <c r="D62" i="4"/>
  <c r="K62" i="4" s="1"/>
  <c r="M61" i="4"/>
  <c r="K61" i="4"/>
  <c r="M60" i="4"/>
  <c r="K60" i="4"/>
  <c r="M59" i="4"/>
  <c r="K59" i="4"/>
  <c r="M58" i="4"/>
  <c r="K58" i="4"/>
  <c r="M57" i="4"/>
  <c r="K57" i="4"/>
  <c r="C57" i="4"/>
  <c r="M56" i="4"/>
  <c r="K56" i="4"/>
  <c r="M55" i="4"/>
  <c r="K55" i="4"/>
  <c r="M54" i="4"/>
  <c r="K54" i="4"/>
  <c r="M53" i="4"/>
  <c r="K53" i="4"/>
  <c r="M52" i="4"/>
  <c r="K52" i="4"/>
  <c r="M51" i="4"/>
  <c r="K51" i="4"/>
  <c r="M50" i="4"/>
  <c r="K50" i="4"/>
  <c r="M49" i="4"/>
  <c r="M48" i="4"/>
  <c r="K48" i="4"/>
  <c r="M47" i="4"/>
  <c r="K47" i="4"/>
  <c r="M46" i="4"/>
  <c r="K46" i="4"/>
  <c r="M45" i="4"/>
  <c r="K45" i="4"/>
  <c r="M44" i="4"/>
  <c r="K44" i="4"/>
  <c r="M43" i="4"/>
  <c r="K43" i="4"/>
  <c r="M42" i="4"/>
  <c r="K42" i="4"/>
  <c r="M41" i="4"/>
  <c r="K41" i="4"/>
  <c r="C40" i="4"/>
  <c r="M40" i="4" s="1"/>
  <c r="D39" i="4"/>
  <c r="M39" i="4" s="1"/>
  <c r="M38" i="4"/>
  <c r="K38" i="4"/>
  <c r="C38" i="4"/>
  <c r="M37" i="4"/>
  <c r="K37" i="4"/>
  <c r="C36" i="4"/>
  <c r="K36" i="4" s="1"/>
  <c r="M35" i="4"/>
  <c r="K35" i="4"/>
  <c r="M34" i="4"/>
  <c r="K34" i="4"/>
  <c r="C33" i="4"/>
  <c r="M33" i="4" s="1"/>
  <c r="C32" i="4"/>
  <c r="K32" i="4" s="1"/>
  <c r="M31" i="4"/>
  <c r="K31" i="4"/>
  <c r="C31" i="4"/>
  <c r="M30" i="4"/>
  <c r="K30" i="4"/>
  <c r="K29" i="4"/>
  <c r="C29" i="4"/>
  <c r="M29" i="4" s="1"/>
  <c r="C28" i="4"/>
  <c r="M28" i="4" s="1"/>
  <c r="M27" i="4"/>
  <c r="K27" i="4"/>
  <c r="M26" i="4"/>
  <c r="K26" i="4"/>
  <c r="M25" i="4"/>
  <c r="K25" i="4"/>
  <c r="G24" i="4"/>
  <c r="G297" i="4" s="1"/>
  <c r="C24" i="4"/>
  <c r="K24" i="4" s="1"/>
  <c r="M23" i="4"/>
  <c r="K23" i="4"/>
  <c r="M22" i="4"/>
  <c r="K22" i="4"/>
  <c r="K21" i="4"/>
  <c r="C21" i="4"/>
  <c r="M21" i="4" s="1"/>
  <c r="C20" i="4"/>
  <c r="M20" i="4" s="1"/>
  <c r="M19" i="4"/>
  <c r="K19" i="4"/>
  <c r="M18" i="4"/>
  <c r="K18" i="4"/>
  <c r="M17" i="4"/>
  <c r="K17" i="4"/>
  <c r="M16" i="4"/>
  <c r="K16" i="4"/>
  <c r="M15" i="4"/>
  <c r="K15" i="4"/>
  <c r="M14" i="4"/>
  <c r="K14" i="4"/>
  <c r="M13" i="4"/>
  <c r="K13" i="4"/>
  <c r="K12" i="4"/>
  <c r="C12" i="4"/>
  <c r="M12" i="4" s="1"/>
  <c r="L11" i="4"/>
  <c r="M11" i="4" s="1"/>
  <c r="K11" i="4"/>
  <c r="I11" i="4"/>
  <c r="I297" i="4" s="1"/>
  <c r="C11" i="4"/>
  <c r="C10" i="4"/>
  <c r="C297" i="4" s="1"/>
  <c r="M9" i="4"/>
  <c r="K9" i="4"/>
  <c r="M8" i="4"/>
  <c r="K8" i="4"/>
  <c r="K148" i="2" l="1"/>
  <c r="M256" i="2"/>
  <c r="M33" i="2"/>
  <c r="M184" i="2"/>
  <c r="K26" i="2"/>
  <c r="M232" i="2"/>
  <c r="M17" i="2"/>
  <c r="K97" i="2"/>
  <c r="K106" i="2"/>
  <c r="K143" i="2"/>
  <c r="K150" i="2"/>
  <c r="K169" i="2"/>
  <c r="K206" i="2"/>
  <c r="K225" i="2"/>
  <c r="K233" i="2"/>
  <c r="K43" i="2"/>
  <c r="K62" i="2"/>
  <c r="K80" i="2"/>
  <c r="K259" i="2"/>
  <c r="K187" i="2"/>
  <c r="K252" i="2"/>
  <c r="K123" i="2"/>
  <c r="K41" i="2"/>
  <c r="M149" i="2"/>
  <c r="K103" i="2"/>
  <c r="M96" i="2"/>
  <c r="K34" i="2"/>
  <c r="M29" i="2"/>
  <c r="M37" i="2"/>
  <c r="K45" i="2"/>
  <c r="K118" i="2"/>
  <c r="K137" i="2"/>
  <c r="M145" i="2"/>
  <c r="M227" i="2"/>
  <c r="K254" i="2"/>
  <c r="M270" i="2"/>
  <c r="K95" i="2"/>
  <c r="M240" i="2"/>
  <c r="M258" i="2"/>
  <c r="K152" i="2"/>
  <c r="K38" i="2"/>
  <c r="K146" i="2"/>
  <c r="K173" i="2"/>
  <c r="K291" i="2"/>
  <c r="K25" i="2"/>
  <c r="K68" i="2"/>
  <c r="K13" i="2"/>
  <c r="K12" i="2"/>
  <c r="K183" i="4"/>
  <c r="K140" i="4"/>
  <c r="K113" i="4"/>
  <c r="K141" i="4"/>
  <c r="K168" i="4"/>
  <c r="K286" i="4"/>
  <c r="K94" i="4"/>
  <c r="M24" i="4"/>
  <c r="M297" i="4" s="1"/>
  <c r="M32" i="4"/>
  <c r="K40" i="4"/>
  <c r="K132" i="4"/>
  <c r="M222" i="4"/>
  <c r="K249" i="4"/>
  <c r="M265" i="4"/>
  <c r="K33" i="4"/>
  <c r="K10" i="4"/>
  <c r="K297" i="4" s="1"/>
  <c r="K79" i="4"/>
  <c r="K250" i="4"/>
  <c r="M10" i="4"/>
  <c r="K233" i="4"/>
  <c r="K242" i="4"/>
  <c r="K258" i="4"/>
  <c r="D297" i="4"/>
  <c r="K39" i="4"/>
  <c r="K20" i="4"/>
  <c r="K28" i="4"/>
  <c r="K63" i="4"/>
  <c r="M143" i="4"/>
  <c r="K255" i="4"/>
  <c r="K147" i="4"/>
  <c r="K179" i="4"/>
  <c r="M36" i="4"/>
  <c r="K144" i="4"/>
  <c r="K227" i="4"/>
  <c r="K92" i="4"/>
  <c r="L297" i="4"/>
  <c r="C60" i="3"/>
  <c r="M303" i="2"/>
  <c r="C30" i="3" l="1"/>
  <c r="K36" i="3"/>
  <c r="L36" i="3" s="1"/>
  <c r="X302" i="2"/>
  <c r="S37" i="3"/>
  <c r="T13" i="2"/>
  <c r="N13" i="2" l="1"/>
  <c r="AA13" i="2"/>
  <c r="AB13" i="2"/>
  <c r="AC13" i="2"/>
  <c r="S13" i="2"/>
  <c r="C10" i="3" l="1"/>
  <c r="C17" i="3"/>
  <c r="C18" i="3" s="1"/>
  <c r="C25" i="3"/>
  <c r="U35" i="3"/>
  <c r="C14" i="3" l="1"/>
  <c r="C61" i="3" s="1"/>
  <c r="H35" i="3"/>
  <c r="I35" i="3"/>
  <c r="J35" i="3" s="1"/>
  <c r="M35" i="3" s="1"/>
  <c r="N35" i="3" s="1"/>
  <c r="Q35" i="3"/>
  <c r="R35" i="3" s="1"/>
  <c r="S35" i="3" s="1"/>
  <c r="T35" i="3" s="1"/>
  <c r="E35" i="3"/>
  <c r="F35" i="3" s="1"/>
  <c r="G35" i="3" s="1"/>
  <c r="K35" i="3" l="1"/>
  <c r="L35" i="3" s="1"/>
  <c r="O17" i="3"/>
  <c r="N288" i="2" l="1"/>
  <c r="Y288" i="2" s="1"/>
  <c r="O288" i="2"/>
  <c r="P288" i="2"/>
  <c r="Q288" i="2"/>
  <c r="R288" i="2"/>
  <c r="S288" i="2"/>
  <c r="T288" i="2"/>
  <c r="U288" i="2"/>
  <c r="V288" i="2"/>
  <c r="W288" i="2"/>
  <c r="X288" i="2"/>
  <c r="Z288" i="2"/>
  <c r="AA288" i="2"/>
  <c r="AB288" i="2"/>
  <c r="AC288" i="2"/>
  <c r="AD288" i="2"/>
  <c r="AE288" i="2"/>
  <c r="AF288" i="2"/>
  <c r="AG288" i="2"/>
  <c r="AH288" i="2"/>
  <c r="N289" i="2"/>
  <c r="Y289" i="2" s="1"/>
  <c r="O289" i="2"/>
  <c r="P289" i="2"/>
  <c r="Q289" i="2"/>
  <c r="R289" i="2"/>
  <c r="S289" i="2"/>
  <c r="T289" i="2"/>
  <c r="U289" i="2"/>
  <c r="V289" i="2"/>
  <c r="W289" i="2"/>
  <c r="X289" i="2"/>
  <c r="Z289" i="2"/>
  <c r="AA289" i="2"/>
  <c r="AB289" i="2"/>
  <c r="AC289" i="2"/>
  <c r="AD289" i="2"/>
  <c r="AE289" i="2"/>
  <c r="AF289" i="2"/>
  <c r="AG289" i="2"/>
  <c r="AH289" i="2"/>
  <c r="N290" i="2"/>
  <c r="Y290" i="2" s="1"/>
  <c r="O290" i="2"/>
  <c r="P290" i="2"/>
  <c r="Q290" i="2"/>
  <c r="R290" i="2"/>
  <c r="S290" i="2"/>
  <c r="T290" i="2"/>
  <c r="U290" i="2"/>
  <c r="V290" i="2"/>
  <c r="W290" i="2"/>
  <c r="X290" i="2"/>
  <c r="Z290" i="2"/>
  <c r="AA290" i="2"/>
  <c r="AB290" i="2"/>
  <c r="AC290" i="2"/>
  <c r="AD290" i="2"/>
  <c r="AE290" i="2"/>
  <c r="AF290" i="2"/>
  <c r="AG290" i="2"/>
  <c r="AH290" i="2"/>
  <c r="N291" i="2"/>
  <c r="Y291" i="2" s="1"/>
  <c r="O291" i="2"/>
  <c r="P291" i="2"/>
  <c r="Q291" i="2"/>
  <c r="R291" i="2"/>
  <c r="S291" i="2"/>
  <c r="T291" i="2"/>
  <c r="U291" i="2"/>
  <c r="V291" i="2"/>
  <c r="W291" i="2"/>
  <c r="X291" i="2"/>
  <c r="Z291" i="2"/>
  <c r="AA291" i="2"/>
  <c r="AB291" i="2"/>
  <c r="AC291" i="2"/>
  <c r="AD291" i="2"/>
  <c r="AE291" i="2"/>
  <c r="AF291" i="2"/>
  <c r="AG291" i="2"/>
  <c r="AH291" i="2"/>
  <c r="N292" i="2"/>
  <c r="Y292" i="2" s="1"/>
  <c r="O292" i="2"/>
  <c r="P292" i="2"/>
  <c r="Q292" i="2"/>
  <c r="R292" i="2"/>
  <c r="S292" i="2"/>
  <c r="T292" i="2"/>
  <c r="U292" i="2"/>
  <c r="V292" i="2"/>
  <c r="W292" i="2"/>
  <c r="X292" i="2"/>
  <c r="Z292" i="2"/>
  <c r="AA292" i="2"/>
  <c r="AB292" i="2"/>
  <c r="AC292" i="2"/>
  <c r="AD292" i="2"/>
  <c r="AE292" i="2"/>
  <c r="AF292" i="2"/>
  <c r="AG292" i="2"/>
  <c r="AH292" i="2"/>
  <c r="N293" i="2"/>
  <c r="Y293" i="2" s="1"/>
  <c r="O293" i="2"/>
  <c r="P293" i="2"/>
  <c r="Q293" i="2"/>
  <c r="R293" i="2"/>
  <c r="S293" i="2"/>
  <c r="T293" i="2"/>
  <c r="U293" i="2"/>
  <c r="V293" i="2"/>
  <c r="W293" i="2"/>
  <c r="X293" i="2"/>
  <c r="Z293" i="2"/>
  <c r="AA293" i="2"/>
  <c r="AB293" i="2"/>
  <c r="AC293" i="2"/>
  <c r="AD293" i="2"/>
  <c r="AE293" i="2"/>
  <c r="AF293" i="2"/>
  <c r="AG293" i="2"/>
  <c r="AH293" i="2"/>
  <c r="N294" i="2"/>
  <c r="Y294" i="2" s="1"/>
  <c r="O294" i="2"/>
  <c r="P294" i="2"/>
  <c r="Q294" i="2"/>
  <c r="R294" i="2"/>
  <c r="S294" i="2"/>
  <c r="T294" i="2"/>
  <c r="U294" i="2"/>
  <c r="V294" i="2"/>
  <c r="W294" i="2"/>
  <c r="X294" i="2"/>
  <c r="Z294" i="2"/>
  <c r="AA294" i="2"/>
  <c r="AB294" i="2"/>
  <c r="AC294" i="2"/>
  <c r="AD294" i="2"/>
  <c r="AE294" i="2"/>
  <c r="AF294" i="2"/>
  <c r="AG294" i="2"/>
  <c r="AH294" i="2"/>
  <c r="N295" i="2"/>
  <c r="Y295" i="2" s="1"/>
  <c r="O295" i="2"/>
  <c r="P295" i="2"/>
  <c r="Q295" i="2"/>
  <c r="R295" i="2"/>
  <c r="S295" i="2"/>
  <c r="T295" i="2"/>
  <c r="U295" i="2"/>
  <c r="V295" i="2"/>
  <c r="W295" i="2"/>
  <c r="X295" i="2"/>
  <c r="Z295" i="2"/>
  <c r="AA295" i="2"/>
  <c r="AB295" i="2"/>
  <c r="AC295" i="2"/>
  <c r="AD295" i="2"/>
  <c r="AE295" i="2"/>
  <c r="AF295" i="2"/>
  <c r="AG295" i="2"/>
  <c r="AH295" i="2"/>
  <c r="N296" i="2"/>
  <c r="Y296" i="2" s="1"/>
  <c r="O296" i="2"/>
  <c r="P296" i="2"/>
  <c r="Q296" i="2"/>
  <c r="R296" i="2"/>
  <c r="S296" i="2"/>
  <c r="T296" i="2"/>
  <c r="U296" i="2"/>
  <c r="V296" i="2"/>
  <c r="W296" i="2"/>
  <c r="X296" i="2"/>
  <c r="Z296" i="2"/>
  <c r="AA296" i="2"/>
  <c r="AB296" i="2"/>
  <c r="AC296" i="2"/>
  <c r="AD296" i="2"/>
  <c r="AE296" i="2"/>
  <c r="AF296" i="2"/>
  <c r="AG296" i="2"/>
  <c r="AH296" i="2"/>
  <c r="N297" i="2"/>
  <c r="Y297" i="2" s="1"/>
  <c r="O297" i="2"/>
  <c r="P297" i="2"/>
  <c r="Q297" i="2"/>
  <c r="R297" i="2"/>
  <c r="S297" i="2"/>
  <c r="T297" i="2"/>
  <c r="U297" i="2"/>
  <c r="V297" i="2"/>
  <c r="W297" i="2"/>
  <c r="X297" i="2"/>
  <c r="Z297" i="2"/>
  <c r="AA297" i="2"/>
  <c r="AB297" i="2"/>
  <c r="AC297" i="2"/>
  <c r="AD297" i="2"/>
  <c r="AE297" i="2"/>
  <c r="AF297" i="2"/>
  <c r="AG297" i="2"/>
  <c r="AH297" i="2"/>
  <c r="N298" i="2"/>
  <c r="Y298" i="2" s="1"/>
  <c r="O298" i="2"/>
  <c r="P298" i="2"/>
  <c r="Q298" i="2"/>
  <c r="R298" i="2"/>
  <c r="S298" i="2"/>
  <c r="T298" i="2"/>
  <c r="U298" i="2"/>
  <c r="V298" i="2"/>
  <c r="W298" i="2"/>
  <c r="X298" i="2"/>
  <c r="Z298" i="2"/>
  <c r="AA298" i="2"/>
  <c r="AB298" i="2"/>
  <c r="AC298" i="2"/>
  <c r="AD298" i="2"/>
  <c r="AE298" i="2"/>
  <c r="AF298" i="2"/>
  <c r="AG298" i="2"/>
  <c r="AH298" i="2"/>
  <c r="N299" i="2"/>
  <c r="Y299" i="2" s="1"/>
  <c r="O299" i="2"/>
  <c r="P299" i="2"/>
  <c r="Q299" i="2"/>
  <c r="R299" i="2"/>
  <c r="S299" i="2"/>
  <c r="T299" i="2"/>
  <c r="U299" i="2"/>
  <c r="V299" i="2"/>
  <c r="W299" i="2"/>
  <c r="X299" i="2"/>
  <c r="Z299" i="2"/>
  <c r="AA299" i="2"/>
  <c r="AB299" i="2"/>
  <c r="AC299" i="2"/>
  <c r="AD299" i="2"/>
  <c r="AE299" i="2"/>
  <c r="AF299" i="2"/>
  <c r="AG299" i="2"/>
  <c r="AH299" i="2"/>
  <c r="AD13" i="2" l="1"/>
  <c r="N34" i="3"/>
  <c r="M34" i="3"/>
  <c r="L34" i="3"/>
  <c r="K34" i="3"/>
  <c r="J34" i="3"/>
  <c r="I34" i="3"/>
  <c r="H34" i="3"/>
  <c r="T34" i="3"/>
  <c r="S34" i="3"/>
  <c r="R34" i="3"/>
  <c r="Q34" i="3"/>
  <c r="U34" i="3"/>
  <c r="G34" i="3"/>
  <c r="F34" i="3"/>
  <c r="E34" i="3"/>
  <c r="O50" i="3" l="1"/>
  <c r="O60" i="3" s="1"/>
  <c r="O29" i="3"/>
  <c r="O28" i="3"/>
  <c r="O23" i="3"/>
  <c r="O22" i="3"/>
  <c r="O21" i="3"/>
  <c r="O10" i="3"/>
  <c r="O11" i="3"/>
  <c r="O12" i="3"/>
  <c r="O13" i="3"/>
  <c r="Y13" i="2"/>
  <c r="Y12" i="2"/>
  <c r="Y11" i="2"/>
  <c r="Y10" i="2"/>
  <c r="O24" i="3"/>
  <c r="O30" i="3" l="1"/>
  <c r="O25" i="3"/>
  <c r="W13" i="2" l="1"/>
  <c r="X17" i="3" l="1"/>
  <c r="D17" i="3"/>
  <c r="M17" i="3"/>
  <c r="N17" i="3"/>
  <c r="Q17" i="3"/>
  <c r="R17" i="3"/>
  <c r="F17" i="3"/>
  <c r="O18" i="3"/>
  <c r="H17" i="3"/>
  <c r="K17" i="3"/>
  <c r="T17" i="3"/>
  <c r="I17" i="3"/>
  <c r="S17" i="3"/>
  <c r="J17" i="3"/>
  <c r="L17" i="3"/>
  <c r="W17" i="3"/>
  <c r="V17" i="3"/>
  <c r="P17" i="3"/>
  <c r="O9" i="3"/>
  <c r="O14" i="3" s="1"/>
  <c r="O300" i="2"/>
  <c r="P300" i="2"/>
  <c r="W300" i="2"/>
  <c r="X300" i="2"/>
  <c r="AD300" i="2"/>
  <c r="AE300" i="2"/>
  <c r="AF300" i="2"/>
  <c r="AG300" i="2"/>
  <c r="AF301" i="2"/>
  <c r="N301" i="2"/>
  <c r="Y301" i="2" s="1"/>
  <c r="N300" i="2"/>
  <c r="Y300" i="2" s="1"/>
  <c r="O61" i="3" l="1"/>
  <c r="E31" i="1" s="1"/>
  <c r="P301" i="2"/>
  <c r="O301" i="2"/>
  <c r="AH301" i="2"/>
  <c r="AH300" i="2"/>
  <c r="AD301" i="2"/>
  <c r="AC300" i="2"/>
  <c r="AB301" i="2"/>
  <c r="AB300" i="2"/>
  <c r="AC301" i="2"/>
  <c r="AA301" i="2"/>
  <c r="AA300" i="2"/>
  <c r="AG301" i="2"/>
  <c r="AE301" i="2"/>
  <c r="Z301" i="2"/>
  <c r="Z300" i="2"/>
  <c r="W301" i="2"/>
  <c r="V301" i="2"/>
  <c r="U301" i="2"/>
  <c r="U300" i="2"/>
  <c r="X301" i="2"/>
  <c r="V300" i="2"/>
  <c r="T301" i="2"/>
  <c r="T300" i="2"/>
  <c r="S301" i="2"/>
  <c r="S300" i="2"/>
  <c r="R301" i="2"/>
  <c r="R300" i="2"/>
  <c r="Q301" i="2"/>
  <c r="Q300" i="2"/>
  <c r="R13" i="2" l="1"/>
  <c r="U13" i="2"/>
  <c r="V13" i="2"/>
  <c r="X13" i="2"/>
  <c r="Z13" i="2"/>
  <c r="AE13" i="2"/>
  <c r="AF13" i="2"/>
  <c r="AG13" i="2"/>
  <c r="AH13" i="2"/>
  <c r="O13" i="2" l="1"/>
  <c r="Q13" i="2"/>
  <c r="P13" i="2"/>
  <c r="N285" i="2" l="1"/>
  <c r="Y285" i="2" s="1"/>
  <c r="N282" i="2"/>
  <c r="Y282" i="2" s="1"/>
  <c r="N281" i="2"/>
  <c r="Y281" i="2" s="1"/>
  <c r="N280" i="2"/>
  <c r="Y280" i="2" s="1"/>
  <c r="N279" i="2"/>
  <c r="Y279" i="2" s="1"/>
  <c r="N276" i="2"/>
  <c r="Y276" i="2" s="1"/>
  <c r="N274" i="2"/>
  <c r="Y274" i="2" s="1"/>
  <c r="N273" i="2"/>
  <c r="Y273" i="2" s="1"/>
  <c r="N272" i="2"/>
  <c r="Y272" i="2" s="1"/>
  <c r="N271" i="2"/>
  <c r="Y271" i="2" s="1"/>
  <c r="N270" i="2"/>
  <c r="Y270" i="2" s="1"/>
  <c r="N267" i="2"/>
  <c r="Y267" i="2" s="1"/>
  <c r="N260" i="2"/>
  <c r="Y260" i="2" s="1"/>
  <c r="N257" i="2"/>
  <c r="Y257" i="2" s="1"/>
  <c r="N256" i="2"/>
  <c r="Y256" i="2" s="1"/>
  <c r="N252" i="2"/>
  <c r="Y252" i="2" s="1"/>
  <c r="N251" i="2"/>
  <c r="Y251" i="2" s="1"/>
  <c r="N248" i="2"/>
  <c r="Y248" i="2" s="1"/>
  <c r="N247" i="2"/>
  <c r="Y247" i="2" s="1"/>
  <c r="N246" i="2"/>
  <c r="Y246" i="2" s="1"/>
  <c r="N244" i="2"/>
  <c r="Y244" i="2" s="1"/>
  <c r="N243" i="2"/>
  <c r="Y243" i="2" s="1"/>
  <c r="N242" i="2"/>
  <c r="Y242" i="2" s="1"/>
  <c r="N237" i="2"/>
  <c r="Y237" i="2" s="1"/>
  <c r="N236" i="2"/>
  <c r="Y236" i="2" s="1"/>
  <c r="N235" i="2"/>
  <c r="Y235" i="2" s="1"/>
  <c r="N234" i="2"/>
  <c r="Y234" i="2" s="1"/>
  <c r="N231" i="2"/>
  <c r="Y231" i="2" s="1"/>
  <c r="N230" i="2"/>
  <c r="Y230" i="2" s="1"/>
  <c r="N229" i="2"/>
  <c r="Y229" i="2" s="1"/>
  <c r="N226" i="2"/>
  <c r="Y226" i="2" s="1"/>
  <c r="N225" i="2"/>
  <c r="Y225" i="2" s="1"/>
  <c r="N224" i="2"/>
  <c r="Y224" i="2" s="1"/>
  <c r="N215" i="2"/>
  <c r="Y215" i="2" s="1"/>
  <c r="N214" i="2"/>
  <c r="Y214" i="2" s="1"/>
  <c r="N212" i="2"/>
  <c r="Y212" i="2" s="1"/>
  <c r="N211" i="2"/>
  <c r="Y211" i="2" s="1"/>
  <c r="N209" i="2"/>
  <c r="Y209" i="2" s="1"/>
  <c r="N207" i="2"/>
  <c r="Y207" i="2" s="1"/>
  <c r="N206" i="2"/>
  <c r="Y206" i="2" s="1"/>
  <c r="N205" i="2"/>
  <c r="Y205" i="2" s="1"/>
  <c r="N204" i="2"/>
  <c r="Y204" i="2" s="1"/>
  <c r="N201" i="2"/>
  <c r="Y201" i="2" s="1"/>
  <c r="N200" i="2"/>
  <c r="Y200" i="2" s="1"/>
  <c r="N199" i="2"/>
  <c r="Y199" i="2" s="1"/>
  <c r="N197" i="2"/>
  <c r="Y197" i="2" s="1"/>
  <c r="N196" i="2"/>
  <c r="Y196" i="2" s="1"/>
  <c r="N195" i="2"/>
  <c r="Y195" i="2" s="1"/>
  <c r="N194" i="2"/>
  <c r="Y194" i="2" s="1"/>
  <c r="N192" i="2"/>
  <c r="Y192" i="2" s="1"/>
  <c r="N186" i="2"/>
  <c r="Y186" i="2" s="1"/>
  <c r="N185" i="2"/>
  <c r="Y185" i="2" s="1"/>
  <c r="N184" i="2"/>
  <c r="Y184" i="2" s="1"/>
  <c r="N183" i="2"/>
  <c r="Y183" i="2" s="1"/>
  <c r="N176" i="2"/>
  <c r="Y176" i="2" s="1"/>
  <c r="N175" i="2"/>
  <c r="Y175" i="2" s="1"/>
  <c r="N173" i="2"/>
  <c r="Y173" i="2" s="1"/>
  <c r="N171" i="2"/>
  <c r="Y171" i="2" s="1"/>
  <c r="N170" i="2"/>
  <c r="Y170" i="2" s="1"/>
  <c r="N168" i="2"/>
  <c r="Y168" i="2" s="1"/>
  <c r="N163" i="2"/>
  <c r="Y163" i="2" s="1"/>
  <c r="N161" i="2"/>
  <c r="Y161" i="2" s="1"/>
  <c r="N160" i="2"/>
  <c r="Y160" i="2" s="1"/>
  <c r="N159" i="2"/>
  <c r="Y159" i="2" s="1"/>
  <c r="N158" i="2"/>
  <c r="Y158" i="2" s="1"/>
  <c r="N154" i="2"/>
  <c r="Y154" i="2" s="1"/>
  <c r="N153" i="2"/>
  <c r="Y153" i="2" s="1"/>
  <c r="N151" i="2"/>
  <c r="Y151" i="2" s="1"/>
  <c r="N148" i="2"/>
  <c r="Y148" i="2" s="1"/>
  <c r="N143" i="2"/>
  <c r="Y143" i="2" s="1"/>
  <c r="N141" i="2"/>
  <c r="Y141" i="2" s="1"/>
  <c r="N140" i="2"/>
  <c r="Y140" i="2" s="1"/>
  <c r="N139" i="2"/>
  <c r="Y139" i="2" s="1"/>
  <c r="N134" i="2"/>
  <c r="Y134" i="2" s="1"/>
  <c r="N132" i="2"/>
  <c r="Y132" i="2" s="1"/>
  <c r="N131" i="2"/>
  <c r="Y131" i="2" s="1"/>
  <c r="N130" i="2"/>
  <c r="Y130" i="2" s="1"/>
  <c r="N129" i="2"/>
  <c r="Y129" i="2" s="1"/>
  <c r="N125" i="2"/>
  <c r="Y125" i="2" s="1"/>
  <c r="N122" i="2"/>
  <c r="Y122" i="2" s="1"/>
  <c r="N121" i="2"/>
  <c r="Y121" i="2" s="1"/>
  <c r="N120" i="2"/>
  <c r="Y120" i="2" s="1"/>
  <c r="N117" i="2"/>
  <c r="Y117" i="2" s="1"/>
  <c r="N116" i="2"/>
  <c r="Y116" i="2" s="1"/>
  <c r="N115" i="2"/>
  <c r="Y115" i="2" s="1"/>
  <c r="N114" i="2"/>
  <c r="Y114" i="2" s="1"/>
  <c r="N113" i="2"/>
  <c r="Y113" i="2" s="1"/>
  <c r="N111" i="2"/>
  <c r="Y111" i="2" s="1"/>
  <c r="N109" i="2"/>
  <c r="Y109" i="2" s="1"/>
  <c r="N108" i="2"/>
  <c r="Y108" i="2" s="1"/>
  <c r="N107" i="2"/>
  <c r="Y107" i="2" s="1"/>
  <c r="N106" i="2"/>
  <c r="Y106" i="2" s="1"/>
  <c r="N104" i="2"/>
  <c r="Y104" i="2" s="1"/>
  <c r="N98" i="2"/>
  <c r="Y98" i="2" s="1"/>
  <c r="N97" i="2"/>
  <c r="Y97" i="2" s="1"/>
  <c r="N95" i="2"/>
  <c r="Y95" i="2" s="1"/>
  <c r="N94" i="2"/>
  <c r="Y94" i="2" s="1"/>
  <c r="N91" i="2"/>
  <c r="Y91" i="2" s="1"/>
  <c r="N89" i="2"/>
  <c r="Y89" i="2" s="1"/>
  <c r="N82" i="2"/>
  <c r="Y82" i="2" s="1"/>
  <c r="N80" i="2"/>
  <c r="Y80" i="2" s="1"/>
  <c r="N79" i="2"/>
  <c r="Y79" i="2" s="1"/>
  <c r="N78" i="2"/>
  <c r="Y78" i="2" s="1"/>
  <c r="N77" i="2"/>
  <c r="Y77" i="2" s="1"/>
  <c r="N76" i="2"/>
  <c r="Y76" i="2" s="1"/>
  <c r="N75" i="2"/>
  <c r="Y75" i="2" s="1"/>
  <c r="N72" i="2"/>
  <c r="Y72" i="2" s="1"/>
  <c r="N71" i="2"/>
  <c r="Y71" i="2" s="1"/>
  <c r="N70" i="2"/>
  <c r="Y70" i="2" s="1"/>
  <c r="N67" i="2"/>
  <c r="Y67" i="2" s="1"/>
  <c r="N66" i="2"/>
  <c r="Y66" i="2" s="1"/>
  <c r="N65" i="2"/>
  <c r="Y65" i="2" s="1"/>
  <c r="N62" i="2"/>
  <c r="Y62" i="2" s="1"/>
  <c r="N58" i="2"/>
  <c r="Y58" i="2" s="1"/>
  <c r="N57" i="2"/>
  <c r="Y57" i="2" s="1"/>
  <c r="N56" i="2"/>
  <c r="Y56" i="2" s="1"/>
  <c r="N52" i="2"/>
  <c r="Y52" i="2" s="1"/>
  <c r="N51" i="2"/>
  <c r="Y51" i="2" s="1"/>
  <c r="N41" i="2"/>
  <c r="Y41" i="2" s="1"/>
  <c r="N39" i="2"/>
  <c r="Y39" i="2" s="1"/>
  <c r="N38" i="2"/>
  <c r="Y38" i="2" s="1"/>
  <c r="N37" i="2"/>
  <c r="Y37" i="2" s="1"/>
  <c r="N34" i="2"/>
  <c r="Y34" i="2" s="1"/>
  <c r="N33" i="2"/>
  <c r="Y33" i="2" s="1"/>
  <c r="N32" i="2"/>
  <c r="Y32" i="2" s="1"/>
  <c r="N29" i="2"/>
  <c r="Y29" i="2" s="1"/>
  <c r="N27" i="2"/>
  <c r="Y27" i="2" s="1"/>
  <c r="N24" i="2"/>
  <c r="Y24" i="2" s="1"/>
  <c r="N20" i="2"/>
  <c r="Y20" i="2" s="1"/>
  <c r="N18" i="2"/>
  <c r="Y18" i="2" s="1"/>
  <c r="N17" i="2"/>
  <c r="Y17" i="2" s="1"/>
  <c r="N284" i="2"/>
  <c r="Y284" i="2" s="1"/>
  <c r="N283" i="2"/>
  <c r="Y283" i="2" s="1"/>
  <c r="N265" i="2"/>
  <c r="Y265" i="2" s="1"/>
  <c r="N264" i="2"/>
  <c r="Y264" i="2" s="1"/>
  <c r="N263" i="2"/>
  <c r="Y263" i="2" s="1"/>
  <c r="N262" i="2"/>
  <c r="Y262" i="2" s="1"/>
  <c r="N245" i="2"/>
  <c r="Y245" i="2" s="1"/>
  <c r="N238" i="2"/>
  <c r="Y238" i="2" s="1"/>
  <c r="N227" i="2"/>
  <c r="Y227" i="2" s="1"/>
  <c r="N218" i="2"/>
  <c r="Y218" i="2" s="1"/>
  <c r="N217" i="2"/>
  <c r="Y217" i="2" s="1"/>
  <c r="N216" i="2"/>
  <c r="Y216" i="2" s="1"/>
  <c r="N198" i="2"/>
  <c r="Y198" i="2" s="1"/>
  <c r="N187" i="2"/>
  <c r="Y187" i="2" s="1"/>
  <c r="N181" i="2"/>
  <c r="Y181" i="2" s="1"/>
  <c r="N179" i="2"/>
  <c r="Y179" i="2" s="1"/>
  <c r="N169" i="2"/>
  <c r="Y169" i="2" s="1"/>
  <c r="N162" i="2"/>
  <c r="Y162" i="2" s="1"/>
  <c r="N156" i="2"/>
  <c r="Y156" i="2" s="1"/>
  <c r="N137" i="2"/>
  <c r="Y137" i="2" s="1"/>
  <c r="N136" i="2"/>
  <c r="Y136" i="2" s="1"/>
  <c r="N124" i="2"/>
  <c r="Y124" i="2" s="1"/>
  <c r="N123" i="2"/>
  <c r="Y123" i="2" s="1"/>
  <c r="N118" i="2"/>
  <c r="Y118" i="2" s="1"/>
  <c r="N105" i="2"/>
  <c r="Y105" i="2" s="1"/>
  <c r="N102" i="2"/>
  <c r="Y102" i="2" s="1"/>
  <c r="N96" i="2"/>
  <c r="Y96" i="2" s="1"/>
  <c r="N87" i="2"/>
  <c r="Y87" i="2" s="1"/>
  <c r="N86" i="2"/>
  <c r="Y86" i="2" s="1"/>
  <c r="N85" i="2"/>
  <c r="Y85" i="2" s="1"/>
  <c r="N84" i="2"/>
  <c r="Y84" i="2" s="1"/>
  <c r="N60" i="2"/>
  <c r="Y60" i="2" s="1"/>
  <c r="N59" i="2"/>
  <c r="Y59" i="2" s="1"/>
  <c r="N48" i="2"/>
  <c r="Y48" i="2" s="1"/>
  <c r="N47" i="2"/>
  <c r="Y47" i="2" s="1"/>
  <c r="N46" i="2"/>
  <c r="Y46" i="2" s="1"/>
  <c r="N42" i="2"/>
  <c r="Y42" i="2" s="1"/>
  <c r="N35" i="2"/>
  <c r="Y35" i="2" s="1"/>
  <c r="N23" i="2"/>
  <c r="Y23" i="2" s="1"/>
  <c r="N19" i="2"/>
  <c r="Y19" i="2" s="1"/>
  <c r="N25" i="2"/>
  <c r="Y25" i="2" s="1"/>
  <c r="N26" i="2"/>
  <c r="Y26" i="2" s="1"/>
  <c r="N30" i="2"/>
  <c r="Y30" i="2" s="1"/>
  <c r="N31" i="2"/>
  <c r="Y31" i="2" s="1"/>
  <c r="N36" i="2"/>
  <c r="Y36" i="2" s="1"/>
  <c r="N43" i="2"/>
  <c r="Y43" i="2" s="1"/>
  <c r="N44" i="2"/>
  <c r="Y44" i="2" s="1"/>
  <c r="N45" i="2"/>
  <c r="Y45" i="2" s="1"/>
  <c r="N49" i="2"/>
  <c r="Y49" i="2" s="1"/>
  <c r="N50" i="2"/>
  <c r="Y50" i="2" s="1"/>
  <c r="N53" i="2"/>
  <c r="Y53" i="2" s="1"/>
  <c r="N54" i="2"/>
  <c r="Y54" i="2" s="1"/>
  <c r="N55" i="2"/>
  <c r="Y55" i="2" s="1"/>
  <c r="N61" i="2"/>
  <c r="Y61" i="2" s="1"/>
  <c r="N63" i="2"/>
  <c r="Y63" i="2" s="1"/>
  <c r="N64" i="2"/>
  <c r="Y64" i="2" s="1"/>
  <c r="N68" i="2"/>
  <c r="Y68" i="2" s="1"/>
  <c r="N69" i="2"/>
  <c r="Y69" i="2" s="1"/>
  <c r="N73" i="2"/>
  <c r="Y73" i="2" s="1"/>
  <c r="N74" i="2"/>
  <c r="Y74" i="2" s="1"/>
  <c r="N81" i="2"/>
  <c r="Y81" i="2" s="1"/>
  <c r="N83" i="2"/>
  <c r="Y83" i="2" s="1"/>
  <c r="N88" i="2"/>
  <c r="Y88" i="2" s="1"/>
  <c r="N90" i="2"/>
  <c r="Y90" i="2" s="1"/>
  <c r="N92" i="2"/>
  <c r="Y92" i="2" s="1"/>
  <c r="N93" i="2"/>
  <c r="Y93" i="2" s="1"/>
  <c r="N99" i="2"/>
  <c r="Y99" i="2" s="1"/>
  <c r="N100" i="2"/>
  <c r="Y100" i="2" s="1"/>
  <c r="N101" i="2"/>
  <c r="Y101" i="2" s="1"/>
  <c r="N110" i="2"/>
  <c r="Y110" i="2" s="1"/>
  <c r="N112" i="2"/>
  <c r="Y112" i="2" s="1"/>
  <c r="N119" i="2"/>
  <c r="Y119" i="2" s="1"/>
  <c r="N126" i="2"/>
  <c r="Y126" i="2" s="1"/>
  <c r="N127" i="2"/>
  <c r="Y127" i="2" s="1"/>
  <c r="N128" i="2"/>
  <c r="Y128" i="2" s="1"/>
  <c r="N133" i="2"/>
  <c r="Y133" i="2" s="1"/>
  <c r="N135" i="2"/>
  <c r="Y135" i="2" s="1"/>
  <c r="N138" i="2"/>
  <c r="Y138" i="2" s="1"/>
  <c r="N144" i="2"/>
  <c r="Y144" i="2" s="1"/>
  <c r="N145" i="2"/>
  <c r="Y145" i="2" s="1"/>
  <c r="N146" i="2"/>
  <c r="Y146" i="2" s="1"/>
  <c r="N147" i="2"/>
  <c r="Y147" i="2" s="1"/>
  <c r="N150" i="2"/>
  <c r="Y150" i="2" s="1"/>
  <c r="N152" i="2"/>
  <c r="Y152" i="2" s="1"/>
  <c r="N155" i="2"/>
  <c r="Y155" i="2" s="1"/>
  <c r="N157" i="2"/>
  <c r="Y157" i="2" s="1"/>
  <c r="N164" i="2"/>
  <c r="Y164" i="2" s="1"/>
  <c r="N165" i="2"/>
  <c r="Y165" i="2" s="1"/>
  <c r="N166" i="2"/>
  <c r="Y166" i="2" s="1"/>
  <c r="N167" i="2"/>
  <c r="Y167" i="2" s="1"/>
  <c r="N172" i="2"/>
  <c r="Y172" i="2" s="1"/>
  <c r="N180" i="2"/>
  <c r="Y180" i="2" s="1"/>
  <c r="N182" i="2"/>
  <c r="Y182" i="2" s="1"/>
  <c r="N188" i="2"/>
  <c r="Y188" i="2" s="1"/>
  <c r="N189" i="2"/>
  <c r="Y189" i="2" s="1"/>
  <c r="N190" i="2"/>
  <c r="Y190" i="2" s="1"/>
  <c r="N191" i="2"/>
  <c r="Y191" i="2" s="1"/>
  <c r="N193" i="2"/>
  <c r="Y193" i="2" s="1"/>
  <c r="N202" i="2"/>
  <c r="Y202" i="2" s="1"/>
  <c r="N203" i="2"/>
  <c r="Y203" i="2" s="1"/>
  <c r="N208" i="2"/>
  <c r="Y208" i="2" s="1"/>
  <c r="N210" i="2"/>
  <c r="Y210" i="2" s="1"/>
  <c r="N213" i="2"/>
  <c r="Y213" i="2" s="1"/>
  <c r="N219" i="2"/>
  <c r="Y219" i="2" s="1"/>
  <c r="N220" i="2"/>
  <c r="Y220" i="2" s="1"/>
  <c r="N221" i="2"/>
  <c r="Y221" i="2" s="1"/>
  <c r="N222" i="2"/>
  <c r="Y222" i="2" s="1"/>
  <c r="N223" i="2"/>
  <c r="Y223" i="2" s="1"/>
  <c r="N228" i="2"/>
  <c r="Y228" i="2" s="1"/>
  <c r="N232" i="2"/>
  <c r="Y232" i="2" s="1"/>
  <c r="N233" i="2"/>
  <c r="Y233" i="2" s="1"/>
  <c r="N240" i="2"/>
  <c r="Y240" i="2" s="1"/>
  <c r="N241" i="2"/>
  <c r="Y241" i="2" s="1"/>
  <c r="N249" i="2"/>
  <c r="Y249" i="2" s="1"/>
  <c r="N250" i="2"/>
  <c r="Y250" i="2" s="1"/>
  <c r="N253" i="2"/>
  <c r="Y253" i="2" s="1"/>
  <c r="N254" i="2"/>
  <c r="Y254" i="2" s="1"/>
  <c r="N255" i="2"/>
  <c r="Y255" i="2" s="1"/>
  <c r="N258" i="2"/>
  <c r="Y258" i="2" s="1"/>
  <c r="N266" i="2"/>
  <c r="Y266" i="2" s="1"/>
  <c r="N268" i="2"/>
  <c r="Y268" i="2" s="1"/>
  <c r="N269" i="2"/>
  <c r="Y269" i="2" s="1"/>
  <c r="N275" i="2"/>
  <c r="Y275" i="2" s="1"/>
  <c r="N277" i="2"/>
  <c r="Y277" i="2" s="1"/>
  <c r="N286" i="2"/>
  <c r="Y286" i="2" s="1"/>
  <c r="N287" i="2"/>
  <c r="Y287" i="2" s="1"/>
  <c r="N239" i="2" l="1"/>
  <c r="Y239" i="2" s="1"/>
  <c r="N174" i="2"/>
  <c r="Y174" i="2" s="1"/>
  <c r="N278" i="2"/>
  <c r="Y278" i="2" s="1"/>
  <c r="N149" i="2"/>
  <c r="Y149" i="2" s="1"/>
  <c r="N28" i="2"/>
  <c r="Y28" i="2" s="1"/>
  <c r="N21" i="2"/>
  <c r="Y21" i="2" s="1"/>
  <c r="Y303" i="2" s="1"/>
  <c r="N40" i="2"/>
  <c r="Y40" i="2" s="1"/>
  <c r="N142" i="2"/>
  <c r="Y142" i="2" s="1"/>
  <c r="N22" i="2"/>
  <c r="Y22" i="2" s="1"/>
  <c r="N178" i="2"/>
  <c r="Y178" i="2" s="1"/>
  <c r="N177" i="2"/>
  <c r="Y177" i="2" s="1"/>
  <c r="N261" i="2"/>
  <c r="Y261" i="2" s="1"/>
  <c r="N103" i="2"/>
  <c r="Y103" i="2" s="1"/>
  <c r="N259" i="2"/>
  <c r="Y259" i="2" s="1"/>
  <c r="H60" i="3"/>
  <c r="W58" i="3"/>
  <c r="V58" i="3"/>
  <c r="V60" i="3" s="1"/>
  <c r="W57" i="3"/>
  <c r="W60" i="3" s="1"/>
  <c r="D56" i="3"/>
  <c r="X55" i="3"/>
  <c r="X60" i="3" s="1"/>
  <c r="U54" i="3"/>
  <c r="E53" i="3"/>
  <c r="G52" i="3"/>
  <c r="F51" i="3"/>
  <c r="N49" i="3"/>
  <c r="N60" i="3" s="1"/>
  <c r="L48" i="3"/>
  <c r="K48" i="3"/>
  <c r="L47" i="3"/>
  <c r="J46" i="3"/>
  <c r="M45" i="3"/>
  <c r="I44" i="3"/>
  <c r="P43" i="3"/>
  <c r="P60" i="3" s="1"/>
  <c r="Q42" i="3"/>
  <c r="S41" i="3"/>
  <c r="T40" i="3"/>
  <c r="R39" i="3"/>
  <c r="U33" i="3"/>
  <c r="T33" i="3"/>
  <c r="Q33" i="3"/>
  <c r="M33" i="3"/>
  <c r="L33" i="3"/>
  <c r="K33" i="3"/>
  <c r="J33" i="3"/>
  <c r="I33" i="3"/>
  <c r="G33" i="3"/>
  <c r="F33" i="3"/>
  <c r="E33" i="3"/>
  <c r="X29" i="3"/>
  <c r="W29" i="3"/>
  <c r="V29" i="3"/>
  <c r="U29" i="3"/>
  <c r="T29" i="3"/>
  <c r="S29" i="3"/>
  <c r="R29" i="3"/>
  <c r="Q29" i="3"/>
  <c r="P29" i="3"/>
  <c r="N29" i="3"/>
  <c r="M29" i="3"/>
  <c r="K29" i="3"/>
  <c r="J29" i="3"/>
  <c r="I29" i="3"/>
  <c r="H29" i="3"/>
  <c r="G29" i="3"/>
  <c r="F29" i="3"/>
  <c r="E29" i="3"/>
  <c r="D29" i="3"/>
  <c r="W28" i="3"/>
  <c r="V28" i="3"/>
  <c r="U28" i="3"/>
  <c r="T28" i="3"/>
  <c r="S28" i="3"/>
  <c r="K28" i="3"/>
  <c r="J28" i="3"/>
  <c r="I28" i="3"/>
  <c r="H28" i="3"/>
  <c r="G28" i="3"/>
  <c r="F28" i="3"/>
  <c r="L27" i="3"/>
  <c r="L29" i="3" s="1"/>
  <c r="W24" i="3"/>
  <c r="V24" i="3"/>
  <c r="M24" i="3"/>
  <c r="L24" i="3"/>
  <c r="K24" i="3"/>
  <c r="J24" i="3"/>
  <c r="I24" i="3"/>
  <c r="X23" i="3"/>
  <c r="W23" i="3"/>
  <c r="V23" i="3"/>
  <c r="U23" i="3"/>
  <c r="T23" i="3"/>
  <c r="S23" i="3"/>
  <c r="R23" i="3"/>
  <c r="Q23" i="3"/>
  <c r="P23" i="3"/>
  <c r="N23" i="3"/>
  <c r="M23" i="3"/>
  <c r="L23" i="3"/>
  <c r="K23" i="3"/>
  <c r="J23" i="3"/>
  <c r="I23" i="3"/>
  <c r="H23" i="3"/>
  <c r="G23" i="3"/>
  <c r="F23" i="3"/>
  <c r="E23" i="3"/>
  <c r="D23" i="3"/>
  <c r="X22" i="3"/>
  <c r="W22" i="3"/>
  <c r="V22" i="3"/>
  <c r="U22" i="3"/>
  <c r="T22" i="3"/>
  <c r="S22" i="3"/>
  <c r="R22" i="3"/>
  <c r="Q22" i="3"/>
  <c r="P22" i="3"/>
  <c r="N22" i="3"/>
  <c r="M22" i="3"/>
  <c r="L22" i="3"/>
  <c r="K22" i="3"/>
  <c r="J22" i="3"/>
  <c r="I22" i="3"/>
  <c r="H22" i="3"/>
  <c r="G22" i="3"/>
  <c r="F22" i="3"/>
  <c r="E22" i="3"/>
  <c r="D22" i="3"/>
  <c r="X21" i="3"/>
  <c r="W21" i="3"/>
  <c r="V21" i="3"/>
  <c r="U21" i="3"/>
  <c r="T21" i="3"/>
  <c r="S21" i="3"/>
  <c r="R21" i="3"/>
  <c r="Q21" i="3"/>
  <c r="P21" i="3"/>
  <c r="N21" i="3"/>
  <c r="M21" i="3"/>
  <c r="L21" i="3"/>
  <c r="K21" i="3"/>
  <c r="J21" i="3"/>
  <c r="I21" i="3"/>
  <c r="H21" i="3"/>
  <c r="G21" i="3"/>
  <c r="F21" i="3"/>
  <c r="D21" i="3"/>
  <c r="W13" i="3"/>
  <c r="V13" i="3"/>
  <c r="U13" i="3"/>
  <c r="T13" i="3"/>
  <c r="S13" i="3"/>
  <c r="R13" i="3"/>
  <c r="Q13" i="3"/>
  <c r="P13" i="3"/>
  <c r="L13" i="3"/>
  <c r="K13" i="3"/>
  <c r="J13" i="3"/>
  <c r="I13" i="3"/>
  <c r="H13" i="3"/>
  <c r="G13" i="3"/>
  <c r="F13" i="3"/>
  <c r="E13" i="3"/>
  <c r="D13" i="3"/>
  <c r="X13" i="3"/>
  <c r="X12" i="3"/>
  <c r="W12" i="3"/>
  <c r="V12" i="3"/>
  <c r="U12" i="3"/>
  <c r="T12" i="3"/>
  <c r="S12" i="3"/>
  <c r="R12" i="3"/>
  <c r="Q12" i="3"/>
  <c r="P12" i="3"/>
  <c r="N12" i="3"/>
  <c r="M12" i="3"/>
  <c r="L12" i="3"/>
  <c r="K12" i="3"/>
  <c r="J12" i="3"/>
  <c r="I12" i="3"/>
  <c r="H12" i="3"/>
  <c r="G12" i="3"/>
  <c r="F12" i="3"/>
  <c r="E12" i="3"/>
  <c r="D12" i="3"/>
  <c r="W11" i="3"/>
  <c r="V11" i="3"/>
  <c r="U11" i="3"/>
  <c r="T11" i="3"/>
  <c r="S11" i="3"/>
  <c r="R11" i="3"/>
  <c r="Q11" i="3"/>
  <c r="M11" i="3"/>
  <c r="L11" i="3"/>
  <c r="K11" i="3"/>
  <c r="J11" i="3"/>
  <c r="I11" i="3"/>
  <c r="H11" i="3"/>
  <c r="G11" i="3"/>
  <c r="F11" i="3"/>
  <c r="E11" i="3"/>
  <c r="D11" i="3"/>
  <c r="X10" i="3"/>
  <c r="W10" i="3"/>
  <c r="V10" i="3"/>
  <c r="U10" i="3"/>
  <c r="T10" i="3"/>
  <c r="S10" i="3"/>
  <c r="R10" i="3"/>
  <c r="Q10" i="3"/>
  <c r="P10" i="3"/>
  <c r="N10" i="3"/>
  <c r="M10" i="3"/>
  <c r="L10" i="3"/>
  <c r="K10" i="3"/>
  <c r="J10" i="3"/>
  <c r="I10" i="3"/>
  <c r="H10" i="3"/>
  <c r="G10" i="3"/>
  <c r="F10" i="3"/>
  <c r="E10" i="3"/>
  <c r="D10" i="3"/>
  <c r="E9" i="3"/>
  <c r="J30" i="3" l="1"/>
  <c r="K30" i="3"/>
  <c r="D31" i="1"/>
  <c r="F31" i="1" s="1"/>
  <c r="F60" i="3"/>
  <c r="F30" i="3"/>
  <c r="H30" i="3"/>
  <c r="I30" i="3"/>
  <c r="V30" i="3"/>
  <c r="W30" i="3"/>
  <c r="I25" i="3"/>
  <c r="T30" i="3"/>
  <c r="U30" i="3"/>
  <c r="G30" i="3"/>
  <c r="K25" i="3"/>
  <c r="I60" i="3"/>
  <c r="V25" i="3"/>
  <c r="U60" i="3"/>
  <c r="K60" i="3"/>
  <c r="J60" i="3"/>
  <c r="T60" i="3"/>
  <c r="J25" i="3"/>
  <c r="M25" i="3"/>
  <c r="F9" i="3"/>
  <c r="F14" i="3" s="1"/>
  <c r="G9" i="3"/>
  <c r="G14" i="3" s="1"/>
  <c r="H9" i="3"/>
  <c r="H14" i="3" s="1"/>
  <c r="I9" i="3"/>
  <c r="I14" i="3" s="1"/>
  <c r="L9" i="3"/>
  <c r="L14" i="3" s="1"/>
  <c r="R9" i="3"/>
  <c r="R14" i="3" s="1"/>
  <c r="E14" i="3"/>
  <c r="S9" i="3"/>
  <c r="S14" i="3" s="1"/>
  <c r="U9" i="3"/>
  <c r="U14" i="3" s="1"/>
  <c r="V9" i="3"/>
  <c r="V14" i="3" s="1"/>
  <c r="J9" i="3"/>
  <c r="J14" i="3" s="1"/>
  <c r="K9" i="3"/>
  <c r="K14" i="3" s="1"/>
  <c r="T9" i="3"/>
  <c r="T14" i="3" s="1"/>
  <c r="W9" i="3"/>
  <c r="W14" i="3" s="1"/>
  <c r="G18" i="3"/>
  <c r="E60" i="3"/>
  <c r="Q60" i="3"/>
  <c r="S30" i="3"/>
  <c r="G60" i="3"/>
  <c r="L25" i="3"/>
  <c r="W25" i="3"/>
  <c r="W18" i="3"/>
  <c r="V18" i="3"/>
  <c r="D18" i="3"/>
  <c r="L60" i="3"/>
  <c r="Q18" i="3"/>
  <c r="M60" i="3"/>
  <c r="N24" i="3"/>
  <c r="N25" i="3" s="1"/>
  <c r="M9" i="3"/>
  <c r="S24" i="3"/>
  <c r="S25" i="3" s="1"/>
  <c r="P28" i="3"/>
  <c r="P30" i="3" s="1"/>
  <c r="P9" i="3"/>
  <c r="N11" i="3"/>
  <c r="M13" i="3"/>
  <c r="T24" i="3"/>
  <c r="T25" i="3" s="1"/>
  <c r="Q28" i="3"/>
  <c r="Q30" i="3" s="1"/>
  <c r="R33" i="3"/>
  <c r="R60" i="3" s="1"/>
  <c r="P24" i="3"/>
  <c r="P25" i="3" s="1"/>
  <c r="L28" i="3"/>
  <c r="L30" i="3" s="1"/>
  <c r="Q24" i="3"/>
  <c r="Q25" i="3" s="1"/>
  <c r="M28" i="3"/>
  <c r="M30" i="3" s="1"/>
  <c r="R24" i="3"/>
  <c r="R25" i="3" s="1"/>
  <c r="N28" i="3"/>
  <c r="N30" i="3" s="1"/>
  <c r="N9" i="3"/>
  <c r="Q9" i="3"/>
  <c r="Q14" i="3" s="1"/>
  <c r="P11" i="3"/>
  <c r="N13" i="3"/>
  <c r="U24" i="3"/>
  <c r="U25" i="3" s="1"/>
  <c r="R28" i="3"/>
  <c r="R30" i="3" s="1"/>
  <c r="S33" i="3"/>
  <c r="S60" i="3" s="1"/>
  <c r="X24" i="3"/>
  <c r="X25" i="3" s="1"/>
  <c r="D24" i="3"/>
  <c r="D25" i="3" s="1"/>
  <c r="E24" i="3"/>
  <c r="E25" i="3" s="1"/>
  <c r="F24" i="3"/>
  <c r="F25" i="3" s="1"/>
  <c r="X28" i="3"/>
  <c r="X30" i="3" s="1"/>
  <c r="X9" i="3"/>
  <c r="G24" i="3"/>
  <c r="G25" i="3" s="1"/>
  <c r="D28" i="3"/>
  <c r="D30" i="3" s="1"/>
  <c r="D9" i="3"/>
  <c r="D14" i="3" s="1"/>
  <c r="X11" i="3"/>
  <c r="H24" i="3"/>
  <c r="H25" i="3" s="1"/>
  <c r="E28" i="3"/>
  <c r="E30" i="3" s="1"/>
  <c r="D33" i="3"/>
  <c r="M14" i="3" l="1"/>
  <c r="P14" i="3"/>
  <c r="K18" i="3"/>
  <c r="K61" i="3" s="1"/>
  <c r="W61" i="3"/>
  <c r="U18" i="3"/>
  <c r="U61" i="3" s="1"/>
  <c r="L18" i="3"/>
  <c r="L61" i="3" s="1"/>
  <c r="H18" i="3"/>
  <c r="H61" i="3" s="1"/>
  <c r="I18" i="3"/>
  <c r="I61" i="3" s="1"/>
  <c r="J18" i="3"/>
  <c r="J61" i="3" s="1"/>
  <c r="M18" i="3"/>
  <c r="V61" i="3"/>
  <c r="Q61" i="3"/>
  <c r="N18" i="3"/>
  <c r="S18" i="3"/>
  <c r="S61" i="3" s="1"/>
  <c r="X18" i="3"/>
  <c r="E18" i="3"/>
  <c r="E61" i="3" s="1"/>
  <c r="G61" i="3"/>
  <c r="E13" i="1" s="1"/>
  <c r="R18" i="3"/>
  <c r="R61" i="3" s="1"/>
  <c r="D61" i="3"/>
  <c r="X14" i="3"/>
  <c r="P18" i="3"/>
  <c r="N14" i="3"/>
  <c r="T18" i="3"/>
  <c r="T61" i="3" s="1"/>
  <c r="F18" i="3"/>
  <c r="F61" i="3" s="1"/>
  <c r="M61" i="3" l="1"/>
  <c r="P61" i="3"/>
  <c r="N61" i="3"/>
  <c r="X61" i="3"/>
  <c r="O273" i="2"/>
  <c r="P273" i="2"/>
  <c r="Q273" i="2"/>
  <c r="R273" i="2"/>
  <c r="S273" i="2"/>
  <c r="T273" i="2"/>
  <c r="U273" i="2"/>
  <c r="V273" i="2"/>
  <c r="W273" i="2"/>
  <c r="X273" i="2"/>
  <c r="Z273" i="2"/>
  <c r="AA273" i="2"/>
  <c r="AB273" i="2"/>
  <c r="AC273" i="2"/>
  <c r="AD273" i="2"/>
  <c r="AE273" i="2"/>
  <c r="AF273" i="2"/>
  <c r="AG273" i="2"/>
  <c r="AH273" i="2"/>
  <c r="O274" i="2"/>
  <c r="P274" i="2"/>
  <c r="Q274" i="2"/>
  <c r="R274" i="2"/>
  <c r="S274" i="2"/>
  <c r="T274" i="2"/>
  <c r="U274" i="2"/>
  <c r="V274" i="2"/>
  <c r="W274" i="2"/>
  <c r="X274" i="2"/>
  <c r="Z274" i="2"/>
  <c r="AA274" i="2"/>
  <c r="AB274" i="2"/>
  <c r="AC274" i="2"/>
  <c r="AD274" i="2"/>
  <c r="AE274" i="2"/>
  <c r="AF274" i="2"/>
  <c r="AG274" i="2"/>
  <c r="AH274" i="2"/>
  <c r="O275" i="2"/>
  <c r="P275" i="2"/>
  <c r="Q275" i="2"/>
  <c r="R275" i="2"/>
  <c r="S275" i="2"/>
  <c r="T275" i="2"/>
  <c r="U275" i="2"/>
  <c r="V275" i="2"/>
  <c r="W275" i="2"/>
  <c r="X275" i="2"/>
  <c r="Z275" i="2"/>
  <c r="AA275" i="2"/>
  <c r="AB275" i="2"/>
  <c r="AC275" i="2"/>
  <c r="AD275" i="2"/>
  <c r="AE275" i="2"/>
  <c r="AF275" i="2"/>
  <c r="AG275" i="2"/>
  <c r="AH275" i="2"/>
  <c r="O276" i="2"/>
  <c r="P276" i="2"/>
  <c r="Q276" i="2"/>
  <c r="R276" i="2"/>
  <c r="S276" i="2"/>
  <c r="T276" i="2"/>
  <c r="U276" i="2"/>
  <c r="V276" i="2"/>
  <c r="W276" i="2"/>
  <c r="X276" i="2"/>
  <c r="Z276" i="2"/>
  <c r="AA276" i="2"/>
  <c r="AB276" i="2"/>
  <c r="AC276" i="2"/>
  <c r="AD276" i="2"/>
  <c r="AE276" i="2"/>
  <c r="AF276" i="2"/>
  <c r="AG276" i="2"/>
  <c r="AH276" i="2"/>
  <c r="O277" i="2"/>
  <c r="P277" i="2"/>
  <c r="Q277" i="2"/>
  <c r="R277" i="2"/>
  <c r="S277" i="2"/>
  <c r="T277" i="2"/>
  <c r="U277" i="2"/>
  <c r="V277" i="2"/>
  <c r="W277" i="2"/>
  <c r="X277" i="2"/>
  <c r="Z277" i="2"/>
  <c r="AA277" i="2"/>
  <c r="AB277" i="2"/>
  <c r="AC277" i="2"/>
  <c r="AD277" i="2"/>
  <c r="AE277" i="2"/>
  <c r="AF277" i="2"/>
  <c r="AG277" i="2"/>
  <c r="AH277" i="2"/>
  <c r="O278" i="2"/>
  <c r="P278" i="2"/>
  <c r="Q278" i="2"/>
  <c r="R278" i="2"/>
  <c r="S278" i="2"/>
  <c r="T278" i="2"/>
  <c r="U278" i="2"/>
  <c r="V278" i="2"/>
  <c r="W278" i="2"/>
  <c r="X278" i="2"/>
  <c r="Z278" i="2"/>
  <c r="AA278" i="2"/>
  <c r="AB278" i="2"/>
  <c r="AC278" i="2"/>
  <c r="AD278" i="2"/>
  <c r="AE278" i="2"/>
  <c r="AF278" i="2"/>
  <c r="AG278" i="2"/>
  <c r="AH278" i="2"/>
  <c r="O279" i="2"/>
  <c r="P279" i="2"/>
  <c r="Q279" i="2"/>
  <c r="R279" i="2"/>
  <c r="S279" i="2"/>
  <c r="T279" i="2"/>
  <c r="U279" i="2"/>
  <c r="V279" i="2"/>
  <c r="W279" i="2"/>
  <c r="X279" i="2"/>
  <c r="Z279" i="2"/>
  <c r="AA279" i="2"/>
  <c r="AB279" i="2"/>
  <c r="AC279" i="2"/>
  <c r="AD279" i="2"/>
  <c r="AE279" i="2"/>
  <c r="AF279" i="2"/>
  <c r="AG279" i="2"/>
  <c r="AH279" i="2"/>
  <c r="O280" i="2"/>
  <c r="P280" i="2"/>
  <c r="Q280" i="2"/>
  <c r="R280" i="2"/>
  <c r="S280" i="2"/>
  <c r="T280" i="2"/>
  <c r="U280" i="2"/>
  <c r="V280" i="2"/>
  <c r="W280" i="2"/>
  <c r="X280" i="2"/>
  <c r="Z280" i="2"/>
  <c r="AA280" i="2"/>
  <c r="AB280" i="2"/>
  <c r="AC280" i="2"/>
  <c r="AD280" i="2"/>
  <c r="AE280" i="2"/>
  <c r="AF280" i="2"/>
  <c r="AG280" i="2"/>
  <c r="AH280" i="2"/>
  <c r="O281" i="2"/>
  <c r="P281" i="2"/>
  <c r="Q281" i="2"/>
  <c r="R281" i="2"/>
  <c r="S281" i="2"/>
  <c r="T281" i="2"/>
  <c r="U281" i="2"/>
  <c r="V281" i="2"/>
  <c r="W281" i="2"/>
  <c r="X281" i="2"/>
  <c r="Z281" i="2"/>
  <c r="AA281" i="2"/>
  <c r="AB281" i="2"/>
  <c r="AC281" i="2"/>
  <c r="AD281" i="2"/>
  <c r="AE281" i="2"/>
  <c r="AF281" i="2"/>
  <c r="AG281" i="2"/>
  <c r="AH281" i="2"/>
  <c r="O282" i="2"/>
  <c r="P282" i="2"/>
  <c r="Q282" i="2"/>
  <c r="R282" i="2"/>
  <c r="S282" i="2"/>
  <c r="T282" i="2"/>
  <c r="U282" i="2"/>
  <c r="V282" i="2"/>
  <c r="W282" i="2"/>
  <c r="X282" i="2"/>
  <c r="Z282" i="2"/>
  <c r="AA282" i="2"/>
  <c r="AB282" i="2"/>
  <c r="AC282" i="2"/>
  <c r="AD282" i="2"/>
  <c r="AE282" i="2"/>
  <c r="AF282" i="2"/>
  <c r="AG282" i="2"/>
  <c r="AH282" i="2"/>
  <c r="O283" i="2"/>
  <c r="P283" i="2"/>
  <c r="Q283" i="2"/>
  <c r="R283" i="2"/>
  <c r="S283" i="2"/>
  <c r="T283" i="2"/>
  <c r="U283" i="2"/>
  <c r="V283" i="2"/>
  <c r="W283" i="2"/>
  <c r="X283" i="2"/>
  <c r="Z283" i="2"/>
  <c r="AA283" i="2"/>
  <c r="AB283" i="2"/>
  <c r="AC283" i="2"/>
  <c r="AD283" i="2"/>
  <c r="AE283" i="2"/>
  <c r="AF283" i="2"/>
  <c r="AG283" i="2"/>
  <c r="AH283" i="2"/>
  <c r="O284" i="2"/>
  <c r="P284" i="2"/>
  <c r="Q284" i="2"/>
  <c r="R284" i="2"/>
  <c r="S284" i="2"/>
  <c r="T284" i="2"/>
  <c r="U284" i="2"/>
  <c r="V284" i="2"/>
  <c r="W284" i="2"/>
  <c r="X284" i="2"/>
  <c r="Z284" i="2"/>
  <c r="AA284" i="2"/>
  <c r="AB284" i="2"/>
  <c r="AC284" i="2"/>
  <c r="AD284" i="2"/>
  <c r="AE284" i="2"/>
  <c r="AF284" i="2"/>
  <c r="AG284" i="2"/>
  <c r="AH284" i="2"/>
  <c r="O285" i="2"/>
  <c r="P285" i="2"/>
  <c r="Q285" i="2"/>
  <c r="R285" i="2"/>
  <c r="S285" i="2"/>
  <c r="T285" i="2"/>
  <c r="U285" i="2"/>
  <c r="V285" i="2"/>
  <c r="W285" i="2"/>
  <c r="X285" i="2"/>
  <c r="Z285" i="2"/>
  <c r="AA285" i="2"/>
  <c r="AB285" i="2"/>
  <c r="AC285" i="2"/>
  <c r="AD285" i="2"/>
  <c r="AE285" i="2"/>
  <c r="AF285" i="2"/>
  <c r="AG285" i="2"/>
  <c r="AH285" i="2"/>
  <c r="O286" i="2"/>
  <c r="P286" i="2"/>
  <c r="Q286" i="2"/>
  <c r="R286" i="2"/>
  <c r="S286" i="2"/>
  <c r="T286" i="2"/>
  <c r="U286" i="2"/>
  <c r="V286" i="2"/>
  <c r="W286" i="2"/>
  <c r="X286" i="2"/>
  <c r="Z286" i="2"/>
  <c r="AA286" i="2"/>
  <c r="AB286" i="2"/>
  <c r="AC286" i="2"/>
  <c r="AD286" i="2"/>
  <c r="AE286" i="2"/>
  <c r="AF286" i="2"/>
  <c r="AG286" i="2"/>
  <c r="AH286" i="2"/>
  <c r="O287" i="2"/>
  <c r="P287" i="2"/>
  <c r="Q287" i="2"/>
  <c r="R287" i="2"/>
  <c r="S287" i="2"/>
  <c r="T287" i="2"/>
  <c r="U287" i="2"/>
  <c r="V287" i="2"/>
  <c r="W287" i="2"/>
  <c r="X287" i="2"/>
  <c r="Z287" i="2"/>
  <c r="AA287" i="2"/>
  <c r="AB287" i="2"/>
  <c r="AC287" i="2"/>
  <c r="AD287" i="2"/>
  <c r="AE287" i="2"/>
  <c r="AF287" i="2"/>
  <c r="AG287" i="2"/>
  <c r="AH287" i="2"/>
  <c r="AG17" i="2" l="1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08" i="2"/>
  <c r="AG109" i="2"/>
  <c r="AG110" i="2"/>
  <c r="AG111" i="2"/>
  <c r="AG112" i="2"/>
  <c r="AG113" i="2"/>
  <c r="AG114" i="2"/>
  <c r="AG115" i="2"/>
  <c r="AG116" i="2"/>
  <c r="AG117" i="2"/>
  <c r="AG118" i="2"/>
  <c r="AG119" i="2"/>
  <c r="AG120" i="2"/>
  <c r="AG121" i="2"/>
  <c r="AG122" i="2"/>
  <c r="AG123" i="2"/>
  <c r="AG124" i="2"/>
  <c r="AG125" i="2"/>
  <c r="AG126" i="2"/>
  <c r="AG127" i="2"/>
  <c r="AG128" i="2"/>
  <c r="AG129" i="2"/>
  <c r="AG130" i="2"/>
  <c r="AG131" i="2"/>
  <c r="AG132" i="2"/>
  <c r="AG133" i="2"/>
  <c r="AG134" i="2"/>
  <c r="AG135" i="2"/>
  <c r="AG136" i="2"/>
  <c r="AG137" i="2"/>
  <c r="AG138" i="2"/>
  <c r="AG139" i="2"/>
  <c r="AG140" i="2"/>
  <c r="AG141" i="2"/>
  <c r="AG142" i="2"/>
  <c r="AG143" i="2"/>
  <c r="AG144" i="2"/>
  <c r="AG145" i="2"/>
  <c r="AG146" i="2"/>
  <c r="AG147" i="2"/>
  <c r="AG148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206" i="2"/>
  <c r="AG207" i="2"/>
  <c r="AG208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241" i="2"/>
  <c r="AG242" i="2"/>
  <c r="AG243" i="2"/>
  <c r="AG244" i="2"/>
  <c r="AG245" i="2"/>
  <c r="AG246" i="2"/>
  <c r="AG247" i="2"/>
  <c r="AG248" i="2"/>
  <c r="AG249" i="2"/>
  <c r="AG250" i="2"/>
  <c r="AG251" i="2"/>
  <c r="AG252" i="2"/>
  <c r="AG253" i="2"/>
  <c r="AG254" i="2"/>
  <c r="AG255" i="2"/>
  <c r="AG256" i="2"/>
  <c r="AG257" i="2"/>
  <c r="AG258" i="2"/>
  <c r="AG259" i="2"/>
  <c r="AG260" i="2"/>
  <c r="AG261" i="2"/>
  <c r="AG262" i="2"/>
  <c r="AG263" i="2"/>
  <c r="AG264" i="2"/>
  <c r="AG265" i="2"/>
  <c r="AG266" i="2"/>
  <c r="AG267" i="2"/>
  <c r="AG268" i="2"/>
  <c r="AG269" i="2"/>
  <c r="AG270" i="2"/>
  <c r="AG271" i="2"/>
  <c r="AG272" i="2"/>
  <c r="AG12" i="2"/>
  <c r="AG11" i="2"/>
  <c r="AG10" i="2"/>
  <c r="AG303" i="2" l="1"/>
  <c r="E17" i="1"/>
  <c r="V138" i="2" l="1"/>
  <c r="V32" i="2"/>
  <c r="V107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5" i="2"/>
  <c r="V204" i="2"/>
  <c r="V203" i="2"/>
  <c r="V202" i="2"/>
  <c r="V201" i="2"/>
  <c r="V200" i="2"/>
  <c r="V199" i="2"/>
  <c r="V198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8" i="2"/>
  <c r="V177" i="2"/>
  <c r="V176" i="2"/>
  <c r="V175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4" i="2"/>
  <c r="V143" i="2"/>
  <c r="V142" i="2"/>
  <c r="V141" i="2"/>
  <c r="V140" i="2"/>
  <c r="V139" i="2"/>
  <c r="V137" i="2"/>
  <c r="V136" i="2"/>
  <c r="V135" i="2"/>
  <c r="V133" i="2"/>
  <c r="V132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0" i="2"/>
  <c r="V109" i="2"/>
  <c r="V108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1" i="2"/>
  <c r="V30" i="2"/>
  <c r="V29" i="2"/>
  <c r="V28" i="2"/>
  <c r="V25" i="2"/>
  <c r="V24" i="2"/>
  <c r="V23" i="2"/>
  <c r="V22" i="2"/>
  <c r="V21" i="2"/>
  <c r="V19" i="2"/>
  <c r="V12" i="2"/>
  <c r="V11" i="2"/>
  <c r="V10" i="2"/>
  <c r="V92" i="2" l="1"/>
  <c r="V131" i="2"/>
  <c r="V18" i="2"/>
  <c r="V145" i="2"/>
  <c r="V27" i="2"/>
  <c r="V179" i="2"/>
  <c r="V206" i="2"/>
  <c r="V93" i="2"/>
  <c r="V134" i="2"/>
  <c r="V146" i="2"/>
  <c r="V197" i="2"/>
  <c r="V257" i="2"/>
  <c r="V17" i="2"/>
  <c r="V303" i="2" s="1"/>
  <c r="V233" i="2"/>
  <c r="V111" i="2"/>
  <c r="V174" i="2"/>
  <c r="V20" i="2"/>
  <c r="V26" i="2"/>
  <c r="R248" i="2" l="1"/>
  <c r="O17" i="2"/>
  <c r="P17" i="2"/>
  <c r="Q17" i="2"/>
  <c r="R17" i="2"/>
  <c r="S17" i="2"/>
  <c r="T17" i="2"/>
  <c r="U17" i="2"/>
  <c r="W17" i="2"/>
  <c r="X17" i="2"/>
  <c r="Z17" i="2"/>
  <c r="AA17" i="2"/>
  <c r="AB17" i="2"/>
  <c r="AC17" i="2"/>
  <c r="AD17" i="2"/>
  <c r="AE17" i="2"/>
  <c r="AF17" i="2"/>
  <c r="AH17" i="2"/>
  <c r="O18" i="2"/>
  <c r="P18" i="2"/>
  <c r="Q18" i="2"/>
  <c r="R18" i="2"/>
  <c r="S18" i="2"/>
  <c r="T18" i="2"/>
  <c r="U18" i="2"/>
  <c r="W18" i="2"/>
  <c r="X18" i="2"/>
  <c r="Z18" i="2"/>
  <c r="AA18" i="2"/>
  <c r="AB18" i="2"/>
  <c r="AC18" i="2"/>
  <c r="AD18" i="2"/>
  <c r="AE18" i="2"/>
  <c r="AF18" i="2"/>
  <c r="AH18" i="2"/>
  <c r="O19" i="2"/>
  <c r="P19" i="2"/>
  <c r="Q19" i="2"/>
  <c r="R19" i="2"/>
  <c r="S19" i="2"/>
  <c r="T19" i="2"/>
  <c r="U19" i="2"/>
  <c r="W19" i="2"/>
  <c r="X19" i="2"/>
  <c r="Z19" i="2"/>
  <c r="AA19" i="2"/>
  <c r="AB19" i="2"/>
  <c r="AC19" i="2"/>
  <c r="AD19" i="2"/>
  <c r="AE19" i="2"/>
  <c r="AF19" i="2"/>
  <c r="AH19" i="2"/>
  <c r="O20" i="2"/>
  <c r="P20" i="2"/>
  <c r="Q20" i="2"/>
  <c r="R20" i="2"/>
  <c r="S20" i="2"/>
  <c r="T20" i="2"/>
  <c r="U20" i="2"/>
  <c r="W20" i="2"/>
  <c r="X20" i="2"/>
  <c r="Z20" i="2"/>
  <c r="AA20" i="2"/>
  <c r="AB20" i="2"/>
  <c r="AC20" i="2"/>
  <c r="AD20" i="2"/>
  <c r="AE20" i="2"/>
  <c r="AF20" i="2"/>
  <c r="AH20" i="2"/>
  <c r="O21" i="2"/>
  <c r="P21" i="2"/>
  <c r="Q21" i="2"/>
  <c r="R21" i="2"/>
  <c r="S21" i="2"/>
  <c r="T21" i="2"/>
  <c r="U21" i="2"/>
  <c r="W21" i="2"/>
  <c r="X21" i="2"/>
  <c r="Z21" i="2"/>
  <c r="AA21" i="2"/>
  <c r="AB21" i="2"/>
  <c r="AC21" i="2"/>
  <c r="AD21" i="2"/>
  <c r="AE21" i="2"/>
  <c r="AF21" i="2"/>
  <c r="AH21" i="2"/>
  <c r="O22" i="2"/>
  <c r="P22" i="2"/>
  <c r="Q22" i="2"/>
  <c r="R22" i="2"/>
  <c r="S22" i="2"/>
  <c r="T22" i="2"/>
  <c r="U22" i="2"/>
  <c r="W22" i="2"/>
  <c r="X22" i="2"/>
  <c r="Z22" i="2"/>
  <c r="AA22" i="2"/>
  <c r="AB22" i="2"/>
  <c r="AC22" i="2"/>
  <c r="AD22" i="2"/>
  <c r="AE22" i="2"/>
  <c r="AF22" i="2"/>
  <c r="AH22" i="2"/>
  <c r="O23" i="2"/>
  <c r="P23" i="2"/>
  <c r="Q23" i="2"/>
  <c r="R23" i="2"/>
  <c r="S23" i="2"/>
  <c r="T23" i="2"/>
  <c r="U23" i="2"/>
  <c r="W23" i="2"/>
  <c r="X23" i="2"/>
  <c r="Z23" i="2"/>
  <c r="AA23" i="2"/>
  <c r="AB23" i="2"/>
  <c r="AC23" i="2"/>
  <c r="AD23" i="2"/>
  <c r="AE23" i="2"/>
  <c r="AF23" i="2"/>
  <c r="AH23" i="2"/>
  <c r="O24" i="2"/>
  <c r="P24" i="2"/>
  <c r="Q24" i="2"/>
  <c r="R24" i="2"/>
  <c r="S24" i="2"/>
  <c r="T24" i="2"/>
  <c r="U24" i="2"/>
  <c r="W24" i="2"/>
  <c r="X24" i="2"/>
  <c r="Z24" i="2"/>
  <c r="AA24" i="2"/>
  <c r="AB24" i="2"/>
  <c r="AC24" i="2"/>
  <c r="AD24" i="2"/>
  <c r="AE24" i="2"/>
  <c r="AF24" i="2"/>
  <c r="AH24" i="2"/>
  <c r="O25" i="2"/>
  <c r="P25" i="2"/>
  <c r="Q25" i="2"/>
  <c r="R25" i="2"/>
  <c r="S25" i="2"/>
  <c r="T25" i="2"/>
  <c r="U25" i="2"/>
  <c r="W25" i="2"/>
  <c r="X25" i="2"/>
  <c r="Z25" i="2"/>
  <c r="AA25" i="2"/>
  <c r="AB25" i="2"/>
  <c r="AC25" i="2"/>
  <c r="AD25" i="2"/>
  <c r="AE25" i="2"/>
  <c r="AF25" i="2"/>
  <c r="AH25" i="2"/>
  <c r="O26" i="2"/>
  <c r="P26" i="2"/>
  <c r="Q26" i="2"/>
  <c r="R26" i="2"/>
  <c r="S26" i="2"/>
  <c r="T26" i="2"/>
  <c r="U26" i="2"/>
  <c r="W26" i="2"/>
  <c r="X26" i="2"/>
  <c r="Z26" i="2"/>
  <c r="AA26" i="2"/>
  <c r="AB26" i="2"/>
  <c r="AC26" i="2"/>
  <c r="AD26" i="2"/>
  <c r="AE26" i="2"/>
  <c r="AF26" i="2"/>
  <c r="AH26" i="2"/>
  <c r="O27" i="2"/>
  <c r="P27" i="2"/>
  <c r="Q27" i="2"/>
  <c r="R27" i="2"/>
  <c r="S27" i="2"/>
  <c r="T27" i="2"/>
  <c r="U27" i="2"/>
  <c r="W27" i="2"/>
  <c r="X27" i="2"/>
  <c r="Z27" i="2"/>
  <c r="AA27" i="2"/>
  <c r="AB27" i="2"/>
  <c r="AC27" i="2"/>
  <c r="AD27" i="2"/>
  <c r="AE27" i="2"/>
  <c r="AF27" i="2"/>
  <c r="AH27" i="2"/>
  <c r="O28" i="2"/>
  <c r="P28" i="2"/>
  <c r="Q28" i="2"/>
  <c r="R28" i="2"/>
  <c r="S28" i="2"/>
  <c r="T28" i="2"/>
  <c r="U28" i="2"/>
  <c r="W28" i="2"/>
  <c r="X28" i="2"/>
  <c r="Z28" i="2"/>
  <c r="AA28" i="2"/>
  <c r="AB28" i="2"/>
  <c r="AC28" i="2"/>
  <c r="AD28" i="2"/>
  <c r="AE28" i="2"/>
  <c r="AF28" i="2"/>
  <c r="AH28" i="2"/>
  <c r="O29" i="2"/>
  <c r="P29" i="2"/>
  <c r="Q29" i="2"/>
  <c r="R29" i="2"/>
  <c r="S29" i="2"/>
  <c r="T29" i="2"/>
  <c r="U29" i="2"/>
  <c r="W29" i="2"/>
  <c r="X29" i="2"/>
  <c r="Z29" i="2"/>
  <c r="AA29" i="2"/>
  <c r="AB29" i="2"/>
  <c r="AC29" i="2"/>
  <c r="AD29" i="2"/>
  <c r="AE29" i="2"/>
  <c r="AF29" i="2"/>
  <c r="AH29" i="2"/>
  <c r="O30" i="2"/>
  <c r="P30" i="2"/>
  <c r="Q30" i="2"/>
  <c r="R30" i="2"/>
  <c r="S30" i="2"/>
  <c r="T30" i="2"/>
  <c r="U30" i="2"/>
  <c r="W30" i="2"/>
  <c r="X30" i="2"/>
  <c r="Z30" i="2"/>
  <c r="AA30" i="2"/>
  <c r="AB30" i="2"/>
  <c r="AC30" i="2"/>
  <c r="AD30" i="2"/>
  <c r="AE30" i="2"/>
  <c r="AF30" i="2"/>
  <c r="AH30" i="2"/>
  <c r="O31" i="2"/>
  <c r="P31" i="2"/>
  <c r="Q31" i="2"/>
  <c r="R31" i="2"/>
  <c r="S31" i="2"/>
  <c r="T31" i="2"/>
  <c r="U31" i="2"/>
  <c r="W31" i="2"/>
  <c r="X31" i="2"/>
  <c r="Z31" i="2"/>
  <c r="AA31" i="2"/>
  <c r="AB31" i="2"/>
  <c r="AC31" i="2"/>
  <c r="AD31" i="2"/>
  <c r="AE31" i="2"/>
  <c r="AF31" i="2"/>
  <c r="AH31" i="2"/>
  <c r="O32" i="2"/>
  <c r="P32" i="2"/>
  <c r="Q32" i="2"/>
  <c r="R32" i="2"/>
  <c r="S32" i="2"/>
  <c r="T32" i="2"/>
  <c r="U32" i="2"/>
  <c r="W32" i="2"/>
  <c r="X32" i="2"/>
  <c r="Z32" i="2"/>
  <c r="AA32" i="2"/>
  <c r="AB32" i="2"/>
  <c r="AC32" i="2"/>
  <c r="AD32" i="2"/>
  <c r="AE32" i="2"/>
  <c r="AF32" i="2"/>
  <c r="AH32" i="2"/>
  <c r="O33" i="2"/>
  <c r="P33" i="2"/>
  <c r="Q33" i="2"/>
  <c r="R33" i="2"/>
  <c r="S33" i="2"/>
  <c r="T33" i="2"/>
  <c r="U33" i="2"/>
  <c r="W33" i="2"/>
  <c r="X33" i="2"/>
  <c r="Z33" i="2"/>
  <c r="AA33" i="2"/>
  <c r="AB33" i="2"/>
  <c r="AC33" i="2"/>
  <c r="AD33" i="2"/>
  <c r="AE33" i="2"/>
  <c r="AF33" i="2"/>
  <c r="AH33" i="2"/>
  <c r="O34" i="2"/>
  <c r="P34" i="2"/>
  <c r="Q34" i="2"/>
  <c r="R34" i="2"/>
  <c r="S34" i="2"/>
  <c r="T34" i="2"/>
  <c r="U34" i="2"/>
  <c r="W34" i="2"/>
  <c r="X34" i="2"/>
  <c r="Z34" i="2"/>
  <c r="AA34" i="2"/>
  <c r="AB34" i="2"/>
  <c r="AC34" i="2"/>
  <c r="AD34" i="2"/>
  <c r="AE34" i="2"/>
  <c r="AF34" i="2"/>
  <c r="AH34" i="2"/>
  <c r="O35" i="2"/>
  <c r="P35" i="2"/>
  <c r="Q35" i="2"/>
  <c r="R35" i="2"/>
  <c r="S35" i="2"/>
  <c r="T35" i="2"/>
  <c r="U35" i="2"/>
  <c r="W35" i="2"/>
  <c r="X35" i="2"/>
  <c r="Z35" i="2"/>
  <c r="AA35" i="2"/>
  <c r="AB35" i="2"/>
  <c r="AC35" i="2"/>
  <c r="AD35" i="2"/>
  <c r="AE35" i="2"/>
  <c r="AF35" i="2"/>
  <c r="AH35" i="2"/>
  <c r="O36" i="2"/>
  <c r="P36" i="2"/>
  <c r="Q36" i="2"/>
  <c r="R36" i="2"/>
  <c r="S36" i="2"/>
  <c r="T36" i="2"/>
  <c r="U36" i="2"/>
  <c r="W36" i="2"/>
  <c r="X36" i="2"/>
  <c r="Z36" i="2"/>
  <c r="AA36" i="2"/>
  <c r="AB36" i="2"/>
  <c r="AC36" i="2"/>
  <c r="AD36" i="2"/>
  <c r="AE36" i="2"/>
  <c r="AF36" i="2"/>
  <c r="AH36" i="2"/>
  <c r="O37" i="2"/>
  <c r="P37" i="2"/>
  <c r="Q37" i="2"/>
  <c r="R37" i="2"/>
  <c r="S37" i="2"/>
  <c r="T37" i="2"/>
  <c r="U37" i="2"/>
  <c r="W37" i="2"/>
  <c r="X37" i="2"/>
  <c r="Z37" i="2"/>
  <c r="AA37" i="2"/>
  <c r="AB37" i="2"/>
  <c r="AC37" i="2"/>
  <c r="AD37" i="2"/>
  <c r="AE37" i="2"/>
  <c r="AF37" i="2"/>
  <c r="AH37" i="2"/>
  <c r="O38" i="2"/>
  <c r="P38" i="2"/>
  <c r="Q38" i="2"/>
  <c r="R38" i="2"/>
  <c r="S38" i="2"/>
  <c r="T38" i="2"/>
  <c r="U38" i="2"/>
  <c r="W38" i="2"/>
  <c r="X38" i="2"/>
  <c r="Z38" i="2"/>
  <c r="AA38" i="2"/>
  <c r="AB38" i="2"/>
  <c r="AC38" i="2"/>
  <c r="AD38" i="2"/>
  <c r="AE38" i="2"/>
  <c r="AF38" i="2"/>
  <c r="AH38" i="2"/>
  <c r="O39" i="2"/>
  <c r="P39" i="2"/>
  <c r="Q39" i="2"/>
  <c r="R39" i="2"/>
  <c r="S39" i="2"/>
  <c r="T39" i="2"/>
  <c r="U39" i="2"/>
  <c r="W39" i="2"/>
  <c r="X39" i="2"/>
  <c r="Z39" i="2"/>
  <c r="AA39" i="2"/>
  <c r="AB39" i="2"/>
  <c r="AC39" i="2"/>
  <c r="AD39" i="2"/>
  <c r="AE39" i="2"/>
  <c r="AF39" i="2"/>
  <c r="AH39" i="2"/>
  <c r="O40" i="2"/>
  <c r="P40" i="2"/>
  <c r="Q40" i="2"/>
  <c r="R40" i="2"/>
  <c r="S40" i="2"/>
  <c r="T40" i="2"/>
  <c r="U40" i="2"/>
  <c r="W40" i="2"/>
  <c r="X40" i="2"/>
  <c r="Z40" i="2"/>
  <c r="AA40" i="2"/>
  <c r="AB40" i="2"/>
  <c r="AC40" i="2"/>
  <c r="AD40" i="2"/>
  <c r="AE40" i="2"/>
  <c r="AF40" i="2"/>
  <c r="AH40" i="2"/>
  <c r="O41" i="2"/>
  <c r="P41" i="2"/>
  <c r="Q41" i="2"/>
  <c r="R41" i="2"/>
  <c r="S41" i="2"/>
  <c r="T41" i="2"/>
  <c r="U41" i="2"/>
  <c r="W41" i="2"/>
  <c r="X41" i="2"/>
  <c r="Z41" i="2"/>
  <c r="AA41" i="2"/>
  <c r="AB41" i="2"/>
  <c r="AC41" i="2"/>
  <c r="AD41" i="2"/>
  <c r="AE41" i="2"/>
  <c r="AF41" i="2"/>
  <c r="AH41" i="2"/>
  <c r="O42" i="2"/>
  <c r="P42" i="2"/>
  <c r="Q42" i="2"/>
  <c r="R42" i="2"/>
  <c r="S42" i="2"/>
  <c r="T42" i="2"/>
  <c r="U42" i="2"/>
  <c r="W42" i="2"/>
  <c r="X42" i="2"/>
  <c r="Z42" i="2"/>
  <c r="AA42" i="2"/>
  <c r="AB42" i="2"/>
  <c r="AC42" i="2"/>
  <c r="AD42" i="2"/>
  <c r="AE42" i="2"/>
  <c r="AF42" i="2"/>
  <c r="AH42" i="2"/>
  <c r="O43" i="2"/>
  <c r="P43" i="2"/>
  <c r="Q43" i="2"/>
  <c r="R43" i="2"/>
  <c r="S43" i="2"/>
  <c r="T43" i="2"/>
  <c r="U43" i="2"/>
  <c r="W43" i="2"/>
  <c r="X43" i="2"/>
  <c r="Z43" i="2"/>
  <c r="AA43" i="2"/>
  <c r="AB43" i="2"/>
  <c r="AC43" i="2"/>
  <c r="AD43" i="2"/>
  <c r="AE43" i="2"/>
  <c r="AF43" i="2"/>
  <c r="AH43" i="2"/>
  <c r="O44" i="2"/>
  <c r="P44" i="2"/>
  <c r="Q44" i="2"/>
  <c r="R44" i="2"/>
  <c r="S44" i="2"/>
  <c r="T44" i="2"/>
  <c r="U44" i="2"/>
  <c r="W44" i="2"/>
  <c r="X44" i="2"/>
  <c r="Z44" i="2"/>
  <c r="AA44" i="2"/>
  <c r="AB44" i="2"/>
  <c r="AC44" i="2"/>
  <c r="AD44" i="2"/>
  <c r="AE44" i="2"/>
  <c r="AF44" i="2"/>
  <c r="AH44" i="2"/>
  <c r="O45" i="2"/>
  <c r="P45" i="2"/>
  <c r="Q45" i="2"/>
  <c r="R45" i="2"/>
  <c r="S45" i="2"/>
  <c r="T45" i="2"/>
  <c r="U45" i="2"/>
  <c r="W45" i="2"/>
  <c r="X45" i="2"/>
  <c r="Z45" i="2"/>
  <c r="AA45" i="2"/>
  <c r="AB45" i="2"/>
  <c r="AC45" i="2"/>
  <c r="AD45" i="2"/>
  <c r="AE45" i="2"/>
  <c r="AF45" i="2"/>
  <c r="AH45" i="2"/>
  <c r="O46" i="2"/>
  <c r="P46" i="2"/>
  <c r="Q46" i="2"/>
  <c r="R46" i="2"/>
  <c r="S46" i="2"/>
  <c r="T46" i="2"/>
  <c r="U46" i="2"/>
  <c r="W46" i="2"/>
  <c r="X46" i="2"/>
  <c r="Z46" i="2"/>
  <c r="AA46" i="2"/>
  <c r="AB46" i="2"/>
  <c r="AC46" i="2"/>
  <c r="AD46" i="2"/>
  <c r="AE46" i="2"/>
  <c r="AF46" i="2"/>
  <c r="AH46" i="2"/>
  <c r="O47" i="2"/>
  <c r="P47" i="2"/>
  <c r="Q47" i="2"/>
  <c r="R47" i="2"/>
  <c r="S47" i="2"/>
  <c r="T47" i="2"/>
  <c r="U47" i="2"/>
  <c r="W47" i="2"/>
  <c r="X47" i="2"/>
  <c r="Z47" i="2"/>
  <c r="AA47" i="2"/>
  <c r="AB47" i="2"/>
  <c r="AC47" i="2"/>
  <c r="AD47" i="2"/>
  <c r="AE47" i="2"/>
  <c r="AF47" i="2"/>
  <c r="AH47" i="2"/>
  <c r="O48" i="2"/>
  <c r="P48" i="2"/>
  <c r="Q48" i="2"/>
  <c r="R48" i="2"/>
  <c r="S48" i="2"/>
  <c r="T48" i="2"/>
  <c r="U48" i="2"/>
  <c r="W48" i="2"/>
  <c r="X48" i="2"/>
  <c r="Z48" i="2"/>
  <c r="AA48" i="2"/>
  <c r="AB48" i="2"/>
  <c r="AC48" i="2"/>
  <c r="AD48" i="2"/>
  <c r="AE48" i="2"/>
  <c r="AF48" i="2"/>
  <c r="AH48" i="2"/>
  <c r="O49" i="2"/>
  <c r="P49" i="2"/>
  <c r="Q49" i="2"/>
  <c r="R49" i="2"/>
  <c r="S49" i="2"/>
  <c r="T49" i="2"/>
  <c r="U49" i="2"/>
  <c r="W49" i="2"/>
  <c r="X49" i="2"/>
  <c r="Z49" i="2"/>
  <c r="AA49" i="2"/>
  <c r="AB49" i="2"/>
  <c r="AC49" i="2"/>
  <c r="AD49" i="2"/>
  <c r="AE49" i="2"/>
  <c r="AF49" i="2"/>
  <c r="AH49" i="2"/>
  <c r="O50" i="2"/>
  <c r="P50" i="2"/>
  <c r="Q50" i="2"/>
  <c r="R50" i="2"/>
  <c r="S50" i="2"/>
  <c r="T50" i="2"/>
  <c r="U50" i="2"/>
  <c r="W50" i="2"/>
  <c r="X50" i="2"/>
  <c r="Z50" i="2"/>
  <c r="AA50" i="2"/>
  <c r="AB50" i="2"/>
  <c r="AC50" i="2"/>
  <c r="AD50" i="2"/>
  <c r="AE50" i="2"/>
  <c r="AF50" i="2"/>
  <c r="AH50" i="2"/>
  <c r="O51" i="2"/>
  <c r="P51" i="2"/>
  <c r="Q51" i="2"/>
  <c r="R51" i="2"/>
  <c r="S51" i="2"/>
  <c r="T51" i="2"/>
  <c r="U51" i="2"/>
  <c r="W51" i="2"/>
  <c r="X51" i="2"/>
  <c r="Z51" i="2"/>
  <c r="AA51" i="2"/>
  <c r="AB51" i="2"/>
  <c r="AC51" i="2"/>
  <c r="AD51" i="2"/>
  <c r="AE51" i="2"/>
  <c r="AF51" i="2"/>
  <c r="AH51" i="2"/>
  <c r="O52" i="2"/>
  <c r="P52" i="2"/>
  <c r="Q52" i="2"/>
  <c r="R52" i="2"/>
  <c r="S52" i="2"/>
  <c r="T52" i="2"/>
  <c r="U52" i="2"/>
  <c r="W52" i="2"/>
  <c r="X52" i="2"/>
  <c r="Z52" i="2"/>
  <c r="AA52" i="2"/>
  <c r="AB52" i="2"/>
  <c r="AC52" i="2"/>
  <c r="AD52" i="2"/>
  <c r="AE52" i="2"/>
  <c r="AF52" i="2"/>
  <c r="AH52" i="2"/>
  <c r="O53" i="2"/>
  <c r="P53" i="2"/>
  <c r="Q53" i="2"/>
  <c r="R53" i="2"/>
  <c r="S53" i="2"/>
  <c r="T53" i="2"/>
  <c r="U53" i="2"/>
  <c r="W53" i="2"/>
  <c r="X53" i="2"/>
  <c r="Z53" i="2"/>
  <c r="AA53" i="2"/>
  <c r="AB53" i="2"/>
  <c r="AC53" i="2"/>
  <c r="AD53" i="2"/>
  <c r="AE53" i="2"/>
  <c r="AF53" i="2"/>
  <c r="AH53" i="2"/>
  <c r="O54" i="2"/>
  <c r="P54" i="2"/>
  <c r="Q54" i="2"/>
  <c r="R54" i="2"/>
  <c r="S54" i="2"/>
  <c r="T54" i="2"/>
  <c r="U54" i="2"/>
  <c r="W54" i="2"/>
  <c r="X54" i="2"/>
  <c r="Z54" i="2"/>
  <c r="AA54" i="2"/>
  <c r="AB54" i="2"/>
  <c r="AC54" i="2"/>
  <c r="AD54" i="2"/>
  <c r="AE54" i="2"/>
  <c r="AF54" i="2"/>
  <c r="AH54" i="2"/>
  <c r="O55" i="2"/>
  <c r="P55" i="2"/>
  <c r="Q55" i="2"/>
  <c r="R55" i="2"/>
  <c r="S55" i="2"/>
  <c r="T55" i="2"/>
  <c r="U55" i="2"/>
  <c r="W55" i="2"/>
  <c r="X55" i="2"/>
  <c r="Z55" i="2"/>
  <c r="AA55" i="2"/>
  <c r="AB55" i="2"/>
  <c r="AC55" i="2"/>
  <c r="AD55" i="2"/>
  <c r="AE55" i="2"/>
  <c r="AF55" i="2"/>
  <c r="AH55" i="2"/>
  <c r="O56" i="2"/>
  <c r="P56" i="2"/>
  <c r="Q56" i="2"/>
  <c r="R56" i="2"/>
  <c r="S56" i="2"/>
  <c r="T56" i="2"/>
  <c r="U56" i="2"/>
  <c r="W56" i="2"/>
  <c r="X56" i="2"/>
  <c r="Z56" i="2"/>
  <c r="AA56" i="2"/>
  <c r="AB56" i="2"/>
  <c r="AC56" i="2"/>
  <c r="AD56" i="2"/>
  <c r="AE56" i="2"/>
  <c r="AF56" i="2"/>
  <c r="AH56" i="2"/>
  <c r="O57" i="2"/>
  <c r="P57" i="2"/>
  <c r="Q57" i="2"/>
  <c r="R57" i="2"/>
  <c r="S57" i="2"/>
  <c r="T57" i="2"/>
  <c r="U57" i="2"/>
  <c r="W57" i="2"/>
  <c r="X57" i="2"/>
  <c r="Z57" i="2"/>
  <c r="AA57" i="2"/>
  <c r="AB57" i="2"/>
  <c r="AC57" i="2"/>
  <c r="AD57" i="2"/>
  <c r="AE57" i="2"/>
  <c r="AF57" i="2"/>
  <c r="AH57" i="2"/>
  <c r="O58" i="2"/>
  <c r="P58" i="2"/>
  <c r="Q58" i="2"/>
  <c r="R58" i="2"/>
  <c r="S58" i="2"/>
  <c r="T58" i="2"/>
  <c r="U58" i="2"/>
  <c r="W58" i="2"/>
  <c r="X58" i="2"/>
  <c r="Z58" i="2"/>
  <c r="AA58" i="2"/>
  <c r="AB58" i="2"/>
  <c r="AC58" i="2"/>
  <c r="AD58" i="2"/>
  <c r="AE58" i="2"/>
  <c r="AF58" i="2"/>
  <c r="AH58" i="2"/>
  <c r="O59" i="2"/>
  <c r="P59" i="2"/>
  <c r="Q59" i="2"/>
  <c r="R59" i="2"/>
  <c r="S59" i="2"/>
  <c r="T59" i="2"/>
  <c r="U59" i="2"/>
  <c r="W59" i="2"/>
  <c r="X59" i="2"/>
  <c r="Z59" i="2"/>
  <c r="AA59" i="2"/>
  <c r="AB59" i="2"/>
  <c r="AC59" i="2"/>
  <c r="AD59" i="2"/>
  <c r="AE59" i="2"/>
  <c r="AF59" i="2"/>
  <c r="AH59" i="2"/>
  <c r="O60" i="2"/>
  <c r="P60" i="2"/>
  <c r="Q60" i="2"/>
  <c r="R60" i="2"/>
  <c r="S60" i="2"/>
  <c r="T60" i="2"/>
  <c r="U60" i="2"/>
  <c r="W60" i="2"/>
  <c r="X60" i="2"/>
  <c r="Z60" i="2"/>
  <c r="AA60" i="2"/>
  <c r="AB60" i="2"/>
  <c r="AC60" i="2"/>
  <c r="AD60" i="2"/>
  <c r="AE60" i="2"/>
  <c r="AF60" i="2"/>
  <c r="AH60" i="2"/>
  <c r="O61" i="2"/>
  <c r="P61" i="2"/>
  <c r="Q61" i="2"/>
  <c r="R61" i="2"/>
  <c r="S61" i="2"/>
  <c r="T61" i="2"/>
  <c r="U61" i="2"/>
  <c r="W61" i="2"/>
  <c r="X61" i="2"/>
  <c r="Z61" i="2"/>
  <c r="AA61" i="2"/>
  <c r="AB61" i="2"/>
  <c r="AC61" i="2"/>
  <c r="AD61" i="2"/>
  <c r="AE61" i="2"/>
  <c r="AF61" i="2"/>
  <c r="AH61" i="2"/>
  <c r="O62" i="2"/>
  <c r="P62" i="2"/>
  <c r="Q62" i="2"/>
  <c r="R62" i="2"/>
  <c r="S62" i="2"/>
  <c r="T62" i="2"/>
  <c r="U62" i="2"/>
  <c r="W62" i="2"/>
  <c r="X62" i="2"/>
  <c r="Z62" i="2"/>
  <c r="AA62" i="2"/>
  <c r="AB62" i="2"/>
  <c r="AC62" i="2"/>
  <c r="AD62" i="2"/>
  <c r="AE62" i="2"/>
  <c r="AF62" i="2"/>
  <c r="AH62" i="2"/>
  <c r="O63" i="2"/>
  <c r="P63" i="2"/>
  <c r="Q63" i="2"/>
  <c r="R63" i="2"/>
  <c r="S63" i="2"/>
  <c r="T63" i="2"/>
  <c r="U63" i="2"/>
  <c r="W63" i="2"/>
  <c r="X63" i="2"/>
  <c r="Z63" i="2"/>
  <c r="AA63" i="2"/>
  <c r="AB63" i="2"/>
  <c r="AC63" i="2"/>
  <c r="AD63" i="2"/>
  <c r="AE63" i="2"/>
  <c r="AF63" i="2"/>
  <c r="AH63" i="2"/>
  <c r="O64" i="2"/>
  <c r="P64" i="2"/>
  <c r="Q64" i="2"/>
  <c r="R64" i="2"/>
  <c r="S64" i="2"/>
  <c r="T64" i="2"/>
  <c r="U64" i="2"/>
  <c r="W64" i="2"/>
  <c r="X64" i="2"/>
  <c r="Z64" i="2"/>
  <c r="AA64" i="2"/>
  <c r="AB64" i="2"/>
  <c r="AC64" i="2"/>
  <c r="AD64" i="2"/>
  <c r="AE64" i="2"/>
  <c r="AF64" i="2"/>
  <c r="AH64" i="2"/>
  <c r="O65" i="2"/>
  <c r="P65" i="2"/>
  <c r="Q65" i="2"/>
  <c r="R65" i="2"/>
  <c r="S65" i="2"/>
  <c r="T65" i="2"/>
  <c r="U65" i="2"/>
  <c r="W65" i="2"/>
  <c r="X65" i="2"/>
  <c r="Z65" i="2"/>
  <c r="AA65" i="2"/>
  <c r="AB65" i="2"/>
  <c r="AC65" i="2"/>
  <c r="AD65" i="2"/>
  <c r="AE65" i="2"/>
  <c r="AF65" i="2"/>
  <c r="AH65" i="2"/>
  <c r="O66" i="2"/>
  <c r="P66" i="2"/>
  <c r="Q66" i="2"/>
  <c r="R66" i="2"/>
  <c r="S66" i="2"/>
  <c r="T66" i="2"/>
  <c r="U66" i="2"/>
  <c r="W66" i="2"/>
  <c r="X66" i="2"/>
  <c r="Z66" i="2"/>
  <c r="AA66" i="2"/>
  <c r="AB66" i="2"/>
  <c r="AC66" i="2"/>
  <c r="AD66" i="2"/>
  <c r="AE66" i="2"/>
  <c r="AF66" i="2"/>
  <c r="AH66" i="2"/>
  <c r="O67" i="2"/>
  <c r="P67" i="2"/>
  <c r="Q67" i="2"/>
  <c r="R67" i="2"/>
  <c r="S67" i="2"/>
  <c r="T67" i="2"/>
  <c r="U67" i="2"/>
  <c r="W67" i="2"/>
  <c r="X67" i="2"/>
  <c r="Z67" i="2"/>
  <c r="AA67" i="2"/>
  <c r="AB67" i="2"/>
  <c r="AC67" i="2"/>
  <c r="AD67" i="2"/>
  <c r="AE67" i="2"/>
  <c r="AF67" i="2"/>
  <c r="AH67" i="2"/>
  <c r="O68" i="2"/>
  <c r="P68" i="2"/>
  <c r="Q68" i="2"/>
  <c r="R68" i="2"/>
  <c r="S68" i="2"/>
  <c r="T68" i="2"/>
  <c r="U68" i="2"/>
  <c r="W68" i="2"/>
  <c r="X68" i="2"/>
  <c r="Z68" i="2"/>
  <c r="AA68" i="2"/>
  <c r="AB68" i="2"/>
  <c r="AC68" i="2"/>
  <c r="AD68" i="2"/>
  <c r="AE68" i="2"/>
  <c r="AF68" i="2"/>
  <c r="AH68" i="2"/>
  <c r="O69" i="2"/>
  <c r="P69" i="2"/>
  <c r="Q69" i="2"/>
  <c r="R69" i="2"/>
  <c r="S69" i="2"/>
  <c r="T69" i="2"/>
  <c r="U69" i="2"/>
  <c r="W69" i="2"/>
  <c r="X69" i="2"/>
  <c r="Z69" i="2"/>
  <c r="AA69" i="2"/>
  <c r="AB69" i="2"/>
  <c r="AC69" i="2"/>
  <c r="AD69" i="2"/>
  <c r="AE69" i="2"/>
  <c r="AF69" i="2"/>
  <c r="AH69" i="2"/>
  <c r="O70" i="2"/>
  <c r="P70" i="2"/>
  <c r="Q70" i="2"/>
  <c r="R70" i="2"/>
  <c r="S70" i="2"/>
  <c r="T70" i="2"/>
  <c r="U70" i="2"/>
  <c r="W70" i="2"/>
  <c r="X70" i="2"/>
  <c r="Z70" i="2"/>
  <c r="AA70" i="2"/>
  <c r="AB70" i="2"/>
  <c r="AC70" i="2"/>
  <c r="AD70" i="2"/>
  <c r="AE70" i="2"/>
  <c r="AF70" i="2"/>
  <c r="AH70" i="2"/>
  <c r="O71" i="2"/>
  <c r="P71" i="2"/>
  <c r="Q71" i="2"/>
  <c r="R71" i="2"/>
  <c r="S71" i="2"/>
  <c r="T71" i="2"/>
  <c r="U71" i="2"/>
  <c r="W71" i="2"/>
  <c r="X71" i="2"/>
  <c r="Z71" i="2"/>
  <c r="AA71" i="2"/>
  <c r="AB71" i="2"/>
  <c r="AC71" i="2"/>
  <c r="AD71" i="2"/>
  <c r="AE71" i="2"/>
  <c r="AF71" i="2"/>
  <c r="AH71" i="2"/>
  <c r="O72" i="2"/>
  <c r="P72" i="2"/>
  <c r="Q72" i="2"/>
  <c r="R72" i="2"/>
  <c r="S72" i="2"/>
  <c r="T72" i="2"/>
  <c r="U72" i="2"/>
  <c r="W72" i="2"/>
  <c r="X72" i="2"/>
  <c r="Z72" i="2"/>
  <c r="AA72" i="2"/>
  <c r="AB72" i="2"/>
  <c r="AC72" i="2"/>
  <c r="AD72" i="2"/>
  <c r="AE72" i="2"/>
  <c r="AF72" i="2"/>
  <c r="AH72" i="2"/>
  <c r="O73" i="2"/>
  <c r="P73" i="2"/>
  <c r="Q73" i="2"/>
  <c r="R73" i="2"/>
  <c r="S73" i="2"/>
  <c r="T73" i="2"/>
  <c r="U73" i="2"/>
  <c r="W73" i="2"/>
  <c r="X73" i="2"/>
  <c r="Z73" i="2"/>
  <c r="AA73" i="2"/>
  <c r="AB73" i="2"/>
  <c r="AC73" i="2"/>
  <c r="AD73" i="2"/>
  <c r="AE73" i="2"/>
  <c r="AF73" i="2"/>
  <c r="AH73" i="2"/>
  <c r="O74" i="2"/>
  <c r="P74" i="2"/>
  <c r="Q74" i="2"/>
  <c r="R74" i="2"/>
  <c r="S74" i="2"/>
  <c r="T74" i="2"/>
  <c r="U74" i="2"/>
  <c r="W74" i="2"/>
  <c r="X74" i="2"/>
  <c r="Z74" i="2"/>
  <c r="AA74" i="2"/>
  <c r="AB74" i="2"/>
  <c r="AC74" i="2"/>
  <c r="AD74" i="2"/>
  <c r="AE74" i="2"/>
  <c r="AF74" i="2"/>
  <c r="AH74" i="2"/>
  <c r="O75" i="2"/>
  <c r="P75" i="2"/>
  <c r="Q75" i="2"/>
  <c r="R75" i="2"/>
  <c r="S75" i="2"/>
  <c r="T75" i="2"/>
  <c r="U75" i="2"/>
  <c r="W75" i="2"/>
  <c r="X75" i="2"/>
  <c r="Z75" i="2"/>
  <c r="AA75" i="2"/>
  <c r="AB75" i="2"/>
  <c r="AC75" i="2"/>
  <c r="AD75" i="2"/>
  <c r="AE75" i="2"/>
  <c r="AF75" i="2"/>
  <c r="AH75" i="2"/>
  <c r="O76" i="2"/>
  <c r="P76" i="2"/>
  <c r="Q76" i="2"/>
  <c r="R76" i="2"/>
  <c r="S76" i="2"/>
  <c r="T76" i="2"/>
  <c r="U76" i="2"/>
  <c r="W76" i="2"/>
  <c r="X76" i="2"/>
  <c r="Z76" i="2"/>
  <c r="AA76" i="2"/>
  <c r="AB76" i="2"/>
  <c r="AC76" i="2"/>
  <c r="AD76" i="2"/>
  <c r="AE76" i="2"/>
  <c r="AF76" i="2"/>
  <c r="AH76" i="2"/>
  <c r="O77" i="2"/>
  <c r="P77" i="2"/>
  <c r="Q77" i="2"/>
  <c r="R77" i="2"/>
  <c r="S77" i="2"/>
  <c r="T77" i="2"/>
  <c r="U77" i="2"/>
  <c r="W77" i="2"/>
  <c r="X77" i="2"/>
  <c r="Z77" i="2"/>
  <c r="AA77" i="2"/>
  <c r="AB77" i="2"/>
  <c r="AC77" i="2"/>
  <c r="AD77" i="2"/>
  <c r="AE77" i="2"/>
  <c r="AF77" i="2"/>
  <c r="AH77" i="2"/>
  <c r="O78" i="2"/>
  <c r="P78" i="2"/>
  <c r="Q78" i="2"/>
  <c r="R78" i="2"/>
  <c r="S78" i="2"/>
  <c r="T78" i="2"/>
  <c r="U78" i="2"/>
  <c r="W78" i="2"/>
  <c r="X78" i="2"/>
  <c r="Z78" i="2"/>
  <c r="AA78" i="2"/>
  <c r="AB78" i="2"/>
  <c r="AC78" i="2"/>
  <c r="AD78" i="2"/>
  <c r="AE78" i="2"/>
  <c r="AF78" i="2"/>
  <c r="AH78" i="2"/>
  <c r="O79" i="2"/>
  <c r="P79" i="2"/>
  <c r="Q79" i="2"/>
  <c r="R79" i="2"/>
  <c r="S79" i="2"/>
  <c r="T79" i="2"/>
  <c r="U79" i="2"/>
  <c r="W79" i="2"/>
  <c r="X79" i="2"/>
  <c r="Z79" i="2"/>
  <c r="AA79" i="2"/>
  <c r="AB79" i="2"/>
  <c r="AC79" i="2"/>
  <c r="AD79" i="2"/>
  <c r="AE79" i="2"/>
  <c r="AF79" i="2"/>
  <c r="AH79" i="2"/>
  <c r="O80" i="2"/>
  <c r="P80" i="2"/>
  <c r="Q80" i="2"/>
  <c r="R80" i="2"/>
  <c r="S80" i="2"/>
  <c r="T80" i="2"/>
  <c r="U80" i="2"/>
  <c r="W80" i="2"/>
  <c r="X80" i="2"/>
  <c r="Z80" i="2"/>
  <c r="AA80" i="2"/>
  <c r="AB80" i="2"/>
  <c r="AC80" i="2"/>
  <c r="AD80" i="2"/>
  <c r="AE80" i="2"/>
  <c r="AF80" i="2"/>
  <c r="AH80" i="2"/>
  <c r="O81" i="2"/>
  <c r="P81" i="2"/>
  <c r="Q81" i="2"/>
  <c r="R81" i="2"/>
  <c r="S81" i="2"/>
  <c r="T81" i="2"/>
  <c r="U81" i="2"/>
  <c r="W81" i="2"/>
  <c r="X81" i="2"/>
  <c r="Z81" i="2"/>
  <c r="AA81" i="2"/>
  <c r="AB81" i="2"/>
  <c r="AC81" i="2"/>
  <c r="AD81" i="2"/>
  <c r="AE81" i="2"/>
  <c r="AF81" i="2"/>
  <c r="AH81" i="2"/>
  <c r="O82" i="2"/>
  <c r="P82" i="2"/>
  <c r="Q82" i="2"/>
  <c r="R82" i="2"/>
  <c r="S82" i="2"/>
  <c r="T82" i="2"/>
  <c r="U82" i="2"/>
  <c r="W82" i="2"/>
  <c r="X82" i="2"/>
  <c r="Z82" i="2"/>
  <c r="AA82" i="2"/>
  <c r="AB82" i="2"/>
  <c r="AC82" i="2"/>
  <c r="AD82" i="2"/>
  <c r="AE82" i="2"/>
  <c r="AF82" i="2"/>
  <c r="AH82" i="2"/>
  <c r="O83" i="2"/>
  <c r="P83" i="2"/>
  <c r="Q83" i="2"/>
  <c r="R83" i="2"/>
  <c r="S83" i="2"/>
  <c r="T83" i="2"/>
  <c r="U83" i="2"/>
  <c r="W83" i="2"/>
  <c r="X83" i="2"/>
  <c r="Z83" i="2"/>
  <c r="AA83" i="2"/>
  <c r="AB83" i="2"/>
  <c r="AC83" i="2"/>
  <c r="AD83" i="2"/>
  <c r="AE83" i="2"/>
  <c r="AF83" i="2"/>
  <c r="AH83" i="2"/>
  <c r="O84" i="2"/>
  <c r="P84" i="2"/>
  <c r="Q84" i="2"/>
  <c r="R84" i="2"/>
  <c r="S84" i="2"/>
  <c r="T84" i="2"/>
  <c r="U84" i="2"/>
  <c r="W84" i="2"/>
  <c r="X84" i="2"/>
  <c r="Z84" i="2"/>
  <c r="AA84" i="2"/>
  <c r="AB84" i="2"/>
  <c r="AC84" i="2"/>
  <c r="AD84" i="2"/>
  <c r="AE84" i="2"/>
  <c r="AF84" i="2"/>
  <c r="AH84" i="2"/>
  <c r="O85" i="2"/>
  <c r="P85" i="2"/>
  <c r="Q85" i="2"/>
  <c r="R85" i="2"/>
  <c r="S85" i="2"/>
  <c r="T85" i="2"/>
  <c r="U85" i="2"/>
  <c r="W85" i="2"/>
  <c r="X85" i="2"/>
  <c r="Z85" i="2"/>
  <c r="AA85" i="2"/>
  <c r="AB85" i="2"/>
  <c r="AC85" i="2"/>
  <c r="AD85" i="2"/>
  <c r="AE85" i="2"/>
  <c r="AF85" i="2"/>
  <c r="AH85" i="2"/>
  <c r="O86" i="2"/>
  <c r="P86" i="2"/>
  <c r="Q86" i="2"/>
  <c r="R86" i="2"/>
  <c r="S86" i="2"/>
  <c r="T86" i="2"/>
  <c r="U86" i="2"/>
  <c r="W86" i="2"/>
  <c r="X86" i="2"/>
  <c r="Z86" i="2"/>
  <c r="AA86" i="2"/>
  <c r="AB86" i="2"/>
  <c r="AC86" i="2"/>
  <c r="AD86" i="2"/>
  <c r="AE86" i="2"/>
  <c r="AF86" i="2"/>
  <c r="AH86" i="2"/>
  <c r="O87" i="2"/>
  <c r="P87" i="2"/>
  <c r="Q87" i="2"/>
  <c r="R87" i="2"/>
  <c r="S87" i="2"/>
  <c r="T87" i="2"/>
  <c r="U87" i="2"/>
  <c r="W87" i="2"/>
  <c r="X87" i="2"/>
  <c r="Z87" i="2"/>
  <c r="AA87" i="2"/>
  <c r="AB87" i="2"/>
  <c r="AC87" i="2"/>
  <c r="AD87" i="2"/>
  <c r="AE87" i="2"/>
  <c r="AF87" i="2"/>
  <c r="AH87" i="2"/>
  <c r="O88" i="2"/>
  <c r="P88" i="2"/>
  <c r="Q88" i="2"/>
  <c r="R88" i="2"/>
  <c r="S88" i="2"/>
  <c r="T88" i="2"/>
  <c r="U88" i="2"/>
  <c r="W88" i="2"/>
  <c r="X88" i="2"/>
  <c r="Z88" i="2"/>
  <c r="AA88" i="2"/>
  <c r="AB88" i="2"/>
  <c r="AC88" i="2"/>
  <c r="AD88" i="2"/>
  <c r="AE88" i="2"/>
  <c r="AF88" i="2"/>
  <c r="AH88" i="2"/>
  <c r="O89" i="2"/>
  <c r="P89" i="2"/>
  <c r="Q89" i="2"/>
  <c r="R89" i="2"/>
  <c r="S89" i="2"/>
  <c r="T89" i="2"/>
  <c r="U89" i="2"/>
  <c r="W89" i="2"/>
  <c r="X89" i="2"/>
  <c r="Z89" i="2"/>
  <c r="AA89" i="2"/>
  <c r="AB89" i="2"/>
  <c r="AC89" i="2"/>
  <c r="AD89" i="2"/>
  <c r="AE89" i="2"/>
  <c r="AF89" i="2"/>
  <c r="AH89" i="2"/>
  <c r="O90" i="2"/>
  <c r="P90" i="2"/>
  <c r="Q90" i="2"/>
  <c r="R90" i="2"/>
  <c r="S90" i="2"/>
  <c r="T90" i="2"/>
  <c r="U90" i="2"/>
  <c r="W90" i="2"/>
  <c r="X90" i="2"/>
  <c r="Z90" i="2"/>
  <c r="AA90" i="2"/>
  <c r="AB90" i="2"/>
  <c r="AC90" i="2"/>
  <c r="AD90" i="2"/>
  <c r="AE90" i="2"/>
  <c r="AF90" i="2"/>
  <c r="AH90" i="2"/>
  <c r="O91" i="2"/>
  <c r="P91" i="2"/>
  <c r="Q91" i="2"/>
  <c r="R91" i="2"/>
  <c r="S91" i="2"/>
  <c r="T91" i="2"/>
  <c r="U91" i="2"/>
  <c r="W91" i="2"/>
  <c r="X91" i="2"/>
  <c r="Z91" i="2"/>
  <c r="AA91" i="2"/>
  <c r="AB91" i="2"/>
  <c r="AC91" i="2"/>
  <c r="AD91" i="2"/>
  <c r="AE91" i="2"/>
  <c r="AF91" i="2"/>
  <c r="AH91" i="2"/>
  <c r="O92" i="2"/>
  <c r="P92" i="2"/>
  <c r="Q92" i="2"/>
  <c r="R92" i="2"/>
  <c r="S92" i="2"/>
  <c r="T92" i="2"/>
  <c r="U92" i="2"/>
  <c r="W92" i="2"/>
  <c r="X92" i="2"/>
  <c r="Z92" i="2"/>
  <c r="AA92" i="2"/>
  <c r="AB92" i="2"/>
  <c r="AC92" i="2"/>
  <c r="AD92" i="2"/>
  <c r="AE92" i="2"/>
  <c r="AF92" i="2"/>
  <c r="AH92" i="2"/>
  <c r="O93" i="2"/>
  <c r="P93" i="2"/>
  <c r="Q93" i="2"/>
  <c r="R93" i="2"/>
  <c r="S93" i="2"/>
  <c r="T93" i="2"/>
  <c r="U93" i="2"/>
  <c r="W93" i="2"/>
  <c r="X93" i="2"/>
  <c r="Z93" i="2"/>
  <c r="AA93" i="2"/>
  <c r="AB93" i="2"/>
  <c r="AC93" i="2"/>
  <c r="AD93" i="2"/>
  <c r="AE93" i="2"/>
  <c r="AF93" i="2"/>
  <c r="AH93" i="2"/>
  <c r="O94" i="2"/>
  <c r="P94" i="2"/>
  <c r="Q94" i="2"/>
  <c r="R94" i="2"/>
  <c r="S94" i="2"/>
  <c r="T94" i="2"/>
  <c r="U94" i="2"/>
  <c r="W94" i="2"/>
  <c r="X94" i="2"/>
  <c r="Z94" i="2"/>
  <c r="AA94" i="2"/>
  <c r="AB94" i="2"/>
  <c r="AC94" i="2"/>
  <c r="AD94" i="2"/>
  <c r="AE94" i="2"/>
  <c r="AF94" i="2"/>
  <c r="AH94" i="2"/>
  <c r="O95" i="2"/>
  <c r="P95" i="2"/>
  <c r="Q95" i="2"/>
  <c r="R95" i="2"/>
  <c r="S95" i="2"/>
  <c r="T95" i="2"/>
  <c r="U95" i="2"/>
  <c r="W95" i="2"/>
  <c r="X95" i="2"/>
  <c r="Z95" i="2"/>
  <c r="AA95" i="2"/>
  <c r="AB95" i="2"/>
  <c r="AC95" i="2"/>
  <c r="AD95" i="2"/>
  <c r="AE95" i="2"/>
  <c r="AF95" i="2"/>
  <c r="AH95" i="2"/>
  <c r="O96" i="2"/>
  <c r="P96" i="2"/>
  <c r="Q96" i="2"/>
  <c r="R96" i="2"/>
  <c r="S96" i="2"/>
  <c r="T96" i="2"/>
  <c r="U96" i="2"/>
  <c r="W96" i="2"/>
  <c r="X96" i="2"/>
  <c r="Z96" i="2"/>
  <c r="AA96" i="2"/>
  <c r="AB96" i="2"/>
  <c r="AC96" i="2"/>
  <c r="AD96" i="2"/>
  <c r="AE96" i="2"/>
  <c r="AF96" i="2"/>
  <c r="AH96" i="2"/>
  <c r="O97" i="2"/>
  <c r="P97" i="2"/>
  <c r="Q97" i="2"/>
  <c r="R97" i="2"/>
  <c r="S97" i="2"/>
  <c r="T97" i="2"/>
  <c r="U97" i="2"/>
  <c r="W97" i="2"/>
  <c r="X97" i="2"/>
  <c r="Z97" i="2"/>
  <c r="AA97" i="2"/>
  <c r="AB97" i="2"/>
  <c r="AC97" i="2"/>
  <c r="AD97" i="2"/>
  <c r="AE97" i="2"/>
  <c r="AF97" i="2"/>
  <c r="AH97" i="2"/>
  <c r="O98" i="2"/>
  <c r="P98" i="2"/>
  <c r="Q98" i="2"/>
  <c r="R98" i="2"/>
  <c r="S98" i="2"/>
  <c r="T98" i="2"/>
  <c r="U98" i="2"/>
  <c r="W98" i="2"/>
  <c r="X98" i="2"/>
  <c r="Z98" i="2"/>
  <c r="AA98" i="2"/>
  <c r="AB98" i="2"/>
  <c r="AC98" i="2"/>
  <c r="AD98" i="2"/>
  <c r="AE98" i="2"/>
  <c r="AF98" i="2"/>
  <c r="AH98" i="2"/>
  <c r="O99" i="2"/>
  <c r="P99" i="2"/>
  <c r="Q99" i="2"/>
  <c r="R99" i="2"/>
  <c r="S99" i="2"/>
  <c r="T99" i="2"/>
  <c r="U99" i="2"/>
  <c r="W99" i="2"/>
  <c r="X99" i="2"/>
  <c r="Z99" i="2"/>
  <c r="AA99" i="2"/>
  <c r="AB99" i="2"/>
  <c r="AC99" i="2"/>
  <c r="AD99" i="2"/>
  <c r="AE99" i="2"/>
  <c r="AF99" i="2"/>
  <c r="AH99" i="2"/>
  <c r="O100" i="2"/>
  <c r="P100" i="2"/>
  <c r="Q100" i="2"/>
  <c r="R100" i="2"/>
  <c r="S100" i="2"/>
  <c r="T100" i="2"/>
  <c r="U100" i="2"/>
  <c r="W100" i="2"/>
  <c r="X100" i="2"/>
  <c r="Z100" i="2"/>
  <c r="AA100" i="2"/>
  <c r="AB100" i="2"/>
  <c r="AC100" i="2"/>
  <c r="AD100" i="2"/>
  <c r="AE100" i="2"/>
  <c r="AF100" i="2"/>
  <c r="AH100" i="2"/>
  <c r="O101" i="2"/>
  <c r="P101" i="2"/>
  <c r="Q101" i="2"/>
  <c r="R101" i="2"/>
  <c r="S101" i="2"/>
  <c r="T101" i="2"/>
  <c r="U101" i="2"/>
  <c r="W101" i="2"/>
  <c r="X101" i="2"/>
  <c r="Z101" i="2"/>
  <c r="AA101" i="2"/>
  <c r="AB101" i="2"/>
  <c r="AC101" i="2"/>
  <c r="AD101" i="2"/>
  <c r="AE101" i="2"/>
  <c r="AF101" i="2"/>
  <c r="AH101" i="2"/>
  <c r="O102" i="2"/>
  <c r="P102" i="2"/>
  <c r="Q102" i="2"/>
  <c r="R102" i="2"/>
  <c r="S102" i="2"/>
  <c r="T102" i="2"/>
  <c r="U102" i="2"/>
  <c r="W102" i="2"/>
  <c r="X102" i="2"/>
  <c r="Z102" i="2"/>
  <c r="AA102" i="2"/>
  <c r="AB102" i="2"/>
  <c r="AC102" i="2"/>
  <c r="AD102" i="2"/>
  <c r="AE102" i="2"/>
  <c r="AF102" i="2"/>
  <c r="AH102" i="2"/>
  <c r="O103" i="2"/>
  <c r="P103" i="2"/>
  <c r="Q103" i="2"/>
  <c r="R103" i="2"/>
  <c r="S103" i="2"/>
  <c r="T103" i="2"/>
  <c r="U103" i="2"/>
  <c r="W103" i="2"/>
  <c r="X103" i="2"/>
  <c r="Z103" i="2"/>
  <c r="AA103" i="2"/>
  <c r="AB103" i="2"/>
  <c r="AC103" i="2"/>
  <c r="AD103" i="2"/>
  <c r="AE103" i="2"/>
  <c r="AF103" i="2"/>
  <c r="AH103" i="2"/>
  <c r="O104" i="2"/>
  <c r="P104" i="2"/>
  <c r="Q104" i="2"/>
  <c r="R104" i="2"/>
  <c r="S104" i="2"/>
  <c r="T104" i="2"/>
  <c r="U104" i="2"/>
  <c r="W104" i="2"/>
  <c r="X104" i="2"/>
  <c r="Z104" i="2"/>
  <c r="AA104" i="2"/>
  <c r="AB104" i="2"/>
  <c r="AC104" i="2"/>
  <c r="AD104" i="2"/>
  <c r="AE104" i="2"/>
  <c r="AF104" i="2"/>
  <c r="AH104" i="2"/>
  <c r="O105" i="2"/>
  <c r="P105" i="2"/>
  <c r="Q105" i="2"/>
  <c r="R105" i="2"/>
  <c r="S105" i="2"/>
  <c r="T105" i="2"/>
  <c r="U105" i="2"/>
  <c r="W105" i="2"/>
  <c r="X105" i="2"/>
  <c r="Z105" i="2"/>
  <c r="AA105" i="2"/>
  <c r="AB105" i="2"/>
  <c r="AC105" i="2"/>
  <c r="AD105" i="2"/>
  <c r="AE105" i="2"/>
  <c r="AF105" i="2"/>
  <c r="AH105" i="2"/>
  <c r="O106" i="2"/>
  <c r="P106" i="2"/>
  <c r="Q106" i="2"/>
  <c r="R106" i="2"/>
  <c r="S106" i="2"/>
  <c r="T106" i="2"/>
  <c r="U106" i="2"/>
  <c r="W106" i="2"/>
  <c r="X106" i="2"/>
  <c r="Z106" i="2"/>
  <c r="AA106" i="2"/>
  <c r="AB106" i="2"/>
  <c r="AC106" i="2"/>
  <c r="AD106" i="2"/>
  <c r="AE106" i="2"/>
  <c r="AF106" i="2"/>
  <c r="AH106" i="2"/>
  <c r="O107" i="2"/>
  <c r="P107" i="2"/>
  <c r="Q107" i="2"/>
  <c r="R107" i="2"/>
  <c r="S107" i="2"/>
  <c r="T107" i="2"/>
  <c r="U107" i="2"/>
  <c r="W107" i="2"/>
  <c r="X107" i="2"/>
  <c r="Z107" i="2"/>
  <c r="AA107" i="2"/>
  <c r="AB107" i="2"/>
  <c r="AC107" i="2"/>
  <c r="AD107" i="2"/>
  <c r="AE107" i="2"/>
  <c r="AF107" i="2"/>
  <c r="AH107" i="2"/>
  <c r="O108" i="2"/>
  <c r="P108" i="2"/>
  <c r="Q108" i="2"/>
  <c r="R108" i="2"/>
  <c r="S108" i="2"/>
  <c r="T108" i="2"/>
  <c r="U108" i="2"/>
  <c r="W108" i="2"/>
  <c r="X108" i="2"/>
  <c r="Z108" i="2"/>
  <c r="AA108" i="2"/>
  <c r="AB108" i="2"/>
  <c r="AC108" i="2"/>
  <c r="AD108" i="2"/>
  <c r="AE108" i="2"/>
  <c r="AF108" i="2"/>
  <c r="AH108" i="2"/>
  <c r="O109" i="2"/>
  <c r="P109" i="2"/>
  <c r="Q109" i="2"/>
  <c r="R109" i="2"/>
  <c r="S109" i="2"/>
  <c r="T109" i="2"/>
  <c r="U109" i="2"/>
  <c r="W109" i="2"/>
  <c r="X109" i="2"/>
  <c r="Z109" i="2"/>
  <c r="AA109" i="2"/>
  <c r="AB109" i="2"/>
  <c r="AC109" i="2"/>
  <c r="AD109" i="2"/>
  <c r="AE109" i="2"/>
  <c r="AF109" i="2"/>
  <c r="AH109" i="2"/>
  <c r="O110" i="2"/>
  <c r="P110" i="2"/>
  <c r="Q110" i="2"/>
  <c r="R110" i="2"/>
  <c r="S110" i="2"/>
  <c r="T110" i="2"/>
  <c r="U110" i="2"/>
  <c r="W110" i="2"/>
  <c r="X110" i="2"/>
  <c r="Z110" i="2"/>
  <c r="AA110" i="2"/>
  <c r="AB110" i="2"/>
  <c r="AC110" i="2"/>
  <c r="AD110" i="2"/>
  <c r="AE110" i="2"/>
  <c r="AF110" i="2"/>
  <c r="AH110" i="2"/>
  <c r="O111" i="2"/>
  <c r="P111" i="2"/>
  <c r="Q111" i="2"/>
  <c r="R111" i="2"/>
  <c r="S111" i="2"/>
  <c r="T111" i="2"/>
  <c r="U111" i="2"/>
  <c r="W111" i="2"/>
  <c r="X111" i="2"/>
  <c r="Z111" i="2"/>
  <c r="AA111" i="2"/>
  <c r="AB111" i="2"/>
  <c r="AC111" i="2"/>
  <c r="AD111" i="2"/>
  <c r="AE111" i="2"/>
  <c r="AF111" i="2"/>
  <c r="AH111" i="2"/>
  <c r="O112" i="2"/>
  <c r="P112" i="2"/>
  <c r="Q112" i="2"/>
  <c r="R112" i="2"/>
  <c r="S112" i="2"/>
  <c r="T112" i="2"/>
  <c r="U112" i="2"/>
  <c r="W112" i="2"/>
  <c r="X112" i="2"/>
  <c r="Z112" i="2"/>
  <c r="AA112" i="2"/>
  <c r="AB112" i="2"/>
  <c r="AC112" i="2"/>
  <c r="AD112" i="2"/>
  <c r="AE112" i="2"/>
  <c r="AF112" i="2"/>
  <c r="AH112" i="2"/>
  <c r="O113" i="2"/>
  <c r="P113" i="2"/>
  <c r="Q113" i="2"/>
  <c r="R113" i="2"/>
  <c r="S113" i="2"/>
  <c r="T113" i="2"/>
  <c r="U113" i="2"/>
  <c r="W113" i="2"/>
  <c r="X113" i="2"/>
  <c r="Z113" i="2"/>
  <c r="AA113" i="2"/>
  <c r="AB113" i="2"/>
  <c r="AC113" i="2"/>
  <c r="AD113" i="2"/>
  <c r="AE113" i="2"/>
  <c r="AF113" i="2"/>
  <c r="AH113" i="2"/>
  <c r="O114" i="2"/>
  <c r="P114" i="2"/>
  <c r="Q114" i="2"/>
  <c r="R114" i="2"/>
  <c r="S114" i="2"/>
  <c r="T114" i="2"/>
  <c r="U114" i="2"/>
  <c r="W114" i="2"/>
  <c r="X114" i="2"/>
  <c r="Z114" i="2"/>
  <c r="AA114" i="2"/>
  <c r="AB114" i="2"/>
  <c r="AC114" i="2"/>
  <c r="AD114" i="2"/>
  <c r="AE114" i="2"/>
  <c r="AF114" i="2"/>
  <c r="AH114" i="2"/>
  <c r="O115" i="2"/>
  <c r="P115" i="2"/>
  <c r="Q115" i="2"/>
  <c r="R115" i="2"/>
  <c r="S115" i="2"/>
  <c r="T115" i="2"/>
  <c r="U115" i="2"/>
  <c r="W115" i="2"/>
  <c r="X115" i="2"/>
  <c r="Z115" i="2"/>
  <c r="AA115" i="2"/>
  <c r="AB115" i="2"/>
  <c r="AC115" i="2"/>
  <c r="AD115" i="2"/>
  <c r="AE115" i="2"/>
  <c r="AF115" i="2"/>
  <c r="AH115" i="2"/>
  <c r="O116" i="2"/>
  <c r="P116" i="2"/>
  <c r="Q116" i="2"/>
  <c r="R116" i="2"/>
  <c r="S116" i="2"/>
  <c r="T116" i="2"/>
  <c r="U116" i="2"/>
  <c r="W116" i="2"/>
  <c r="X116" i="2"/>
  <c r="Z116" i="2"/>
  <c r="AA116" i="2"/>
  <c r="AB116" i="2"/>
  <c r="AC116" i="2"/>
  <c r="AD116" i="2"/>
  <c r="AE116" i="2"/>
  <c r="AF116" i="2"/>
  <c r="AH116" i="2"/>
  <c r="O117" i="2"/>
  <c r="P117" i="2"/>
  <c r="Q117" i="2"/>
  <c r="R117" i="2"/>
  <c r="S117" i="2"/>
  <c r="T117" i="2"/>
  <c r="U117" i="2"/>
  <c r="W117" i="2"/>
  <c r="X117" i="2"/>
  <c r="Z117" i="2"/>
  <c r="AA117" i="2"/>
  <c r="AB117" i="2"/>
  <c r="AC117" i="2"/>
  <c r="AD117" i="2"/>
  <c r="AE117" i="2"/>
  <c r="AF117" i="2"/>
  <c r="AH117" i="2"/>
  <c r="O118" i="2"/>
  <c r="P118" i="2"/>
  <c r="Q118" i="2"/>
  <c r="R118" i="2"/>
  <c r="S118" i="2"/>
  <c r="T118" i="2"/>
  <c r="U118" i="2"/>
  <c r="W118" i="2"/>
  <c r="X118" i="2"/>
  <c r="Z118" i="2"/>
  <c r="AA118" i="2"/>
  <c r="AB118" i="2"/>
  <c r="AC118" i="2"/>
  <c r="AD118" i="2"/>
  <c r="AE118" i="2"/>
  <c r="AF118" i="2"/>
  <c r="AH118" i="2"/>
  <c r="O119" i="2"/>
  <c r="P119" i="2"/>
  <c r="Q119" i="2"/>
  <c r="R119" i="2"/>
  <c r="S119" i="2"/>
  <c r="T119" i="2"/>
  <c r="U119" i="2"/>
  <c r="W119" i="2"/>
  <c r="X119" i="2"/>
  <c r="Z119" i="2"/>
  <c r="AA119" i="2"/>
  <c r="AB119" i="2"/>
  <c r="AC119" i="2"/>
  <c r="AD119" i="2"/>
  <c r="AE119" i="2"/>
  <c r="AF119" i="2"/>
  <c r="AH119" i="2"/>
  <c r="O120" i="2"/>
  <c r="P120" i="2"/>
  <c r="Q120" i="2"/>
  <c r="R120" i="2"/>
  <c r="S120" i="2"/>
  <c r="T120" i="2"/>
  <c r="U120" i="2"/>
  <c r="W120" i="2"/>
  <c r="X120" i="2"/>
  <c r="Z120" i="2"/>
  <c r="AA120" i="2"/>
  <c r="AB120" i="2"/>
  <c r="AC120" i="2"/>
  <c r="AD120" i="2"/>
  <c r="AE120" i="2"/>
  <c r="AF120" i="2"/>
  <c r="AH120" i="2"/>
  <c r="O121" i="2"/>
  <c r="P121" i="2"/>
  <c r="Q121" i="2"/>
  <c r="R121" i="2"/>
  <c r="S121" i="2"/>
  <c r="T121" i="2"/>
  <c r="U121" i="2"/>
  <c r="W121" i="2"/>
  <c r="X121" i="2"/>
  <c r="Z121" i="2"/>
  <c r="AA121" i="2"/>
  <c r="AB121" i="2"/>
  <c r="AC121" i="2"/>
  <c r="AD121" i="2"/>
  <c r="AE121" i="2"/>
  <c r="AF121" i="2"/>
  <c r="AH121" i="2"/>
  <c r="O122" i="2"/>
  <c r="P122" i="2"/>
  <c r="Q122" i="2"/>
  <c r="R122" i="2"/>
  <c r="S122" i="2"/>
  <c r="T122" i="2"/>
  <c r="U122" i="2"/>
  <c r="W122" i="2"/>
  <c r="X122" i="2"/>
  <c r="Z122" i="2"/>
  <c r="AA122" i="2"/>
  <c r="AB122" i="2"/>
  <c r="AC122" i="2"/>
  <c r="AD122" i="2"/>
  <c r="AE122" i="2"/>
  <c r="AF122" i="2"/>
  <c r="AH122" i="2"/>
  <c r="O123" i="2"/>
  <c r="P123" i="2"/>
  <c r="Q123" i="2"/>
  <c r="R123" i="2"/>
  <c r="S123" i="2"/>
  <c r="T123" i="2"/>
  <c r="U123" i="2"/>
  <c r="W123" i="2"/>
  <c r="X123" i="2"/>
  <c r="Z123" i="2"/>
  <c r="AA123" i="2"/>
  <c r="AB123" i="2"/>
  <c r="AC123" i="2"/>
  <c r="AD123" i="2"/>
  <c r="AE123" i="2"/>
  <c r="AF123" i="2"/>
  <c r="AH123" i="2"/>
  <c r="O124" i="2"/>
  <c r="P124" i="2"/>
  <c r="Q124" i="2"/>
  <c r="R124" i="2"/>
  <c r="S124" i="2"/>
  <c r="T124" i="2"/>
  <c r="U124" i="2"/>
  <c r="W124" i="2"/>
  <c r="X124" i="2"/>
  <c r="Z124" i="2"/>
  <c r="AA124" i="2"/>
  <c r="AB124" i="2"/>
  <c r="AC124" i="2"/>
  <c r="AD124" i="2"/>
  <c r="AE124" i="2"/>
  <c r="AF124" i="2"/>
  <c r="AH124" i="2"/>
  <c r="O125" i="2"/>
  <c r="P125" i="2"/>
  <c r="Q125" i="2"/>
  <c r="R125" i="2"/>
  <c r="S125" i="2"/>
  <c r="T125" i="2"/>
  <c r="U125" i="2"/>
  <c r="W125" i="2"/>
  <c r="X125" i="2"/>
  <c r="Z125" i="2"/>
  <c r="AA125" i="2"/>
  <c r="AB125" i="2"/>
  <c r="AC125" i="2"/>
  <c r="AD125" i="2"/>
  <c r="AE125" i="2"/>
  <c r="AF125" i="2"/>
  <c r="AH125" i="2"/>
  <c r="O126" i="2"/>
  <c r="P126" i="2"/>
  <c r="Q126" i="2"/>
  <c r="R126" i="2"/>
  <c r="S126" i="2"/>
  <c r="T126" i="2"/>
  <c r="U126" i="2"/>
  <c r="W126" i="2"/>
  <c r="X126" i="2"/>
  <c r="Z126" i="2"/>
  <c r="AA126" i="2"/>
  <c r="AB126" i="2"/>
  <c r="AC126" i="2"/>
  <c r="AD126" i="2"/>
  <c r="AE126" i="2"/>
  <c r="AF126" i="2"/>
  <c r="AH126" i="2"/>
  <c r="O127" i="2"/>
  <c r="P127" i="2"/>
  <c r="Q127" i="2"/>
  <c r="R127" i="2"/>
  <c r="S127" i="2"/>
  <c r="T127" i="2"/>
  <c r="U127" i="2"/>
  <c r="W127" i="2"/>
  <c r="X127" i="2"/>
  <c r="Z127" i="2"/>
  <c r="AA127" i="2"/>
  <c r="AB127" i="2"/>
  <c r="AC127" i="2"/>
  <c r="AD127" i="2"/>
  <c r="AE127" i="2"/>
  <c r="AF127" i="2"/>
  <c r="AH127" i="2"/>
  <c r="O128" i="2"/>
  <c r="P128" i="2"/>
  <c r="Q128" i="2"/>
  <c r="R128" i="2"/>
  <c r="S128" i="2"/>
  <c r="T128" i="2"/>
  <c r="U128" i="2"/>
  <c r="W128" i="2"/>
  <c r="X128" i="2"/>
  <c r="Z128" i="2"/>
  <c r="AA128" i="2"/>
  <c r="AB128" i="2"/>
  <c r="AC128" i="2"/>
  <c r="AD128" i="2"/>
  <c r="AE128" i="2"/>
  <c r="AF128" i="2"/>
  <c r="AH128" i="2"/>
  <c r="O129" i="2"/>
  <c r="P129" i="2"/>
  <c r="Q129" i="2"/>
  <c r="R129" i="2"/>
  <c r="S129" i="2"/>
  <c r="T129" i="2"/>
  <c r="U129" i="2"/>
  <c r="W129" i="2"/>
  <c r="X129" i="2"/>
  <c r="Z129" i="2"/>
  <c r="AA129" i="2"/>
  <c r="AB129" i="2"/>
  <c r="AC129" i="2"/>
  <c r="AD129" i="2"/>
  <c r="AE129" i="2"/>
  <c r="AF129" i="2"/>
  <c r="AH129" i="2"/>
  <c r="O130" i="2"/>
  <c r="P130" i="2"/>
  <c r="Q130" i="2"/>
  <c r="R130" i="2"/>
  <c r="S130" i="2"/>
  <c r="T130" i="2"/>
  <c r="U130" i="2"/>
  <c r="W130" i="2"/>
  <c r="X130" i="2"/>
  <c r="Z130" i="2"/>
  <c r="AA130" i="2"/>
  <c r="AB130" i="2"/>
  <c r="AC130" i="2"/>
  <c r="AD130" i="2"/>
  <c r="AE130" i="2"/>
  <c r="AF130" i="2"/>
  <c r="AH130" i="2"/>
  <c r="O131" i="2"/>
  <c r="P131" i="2"/>
  <c r="Q131" i="2"/>
  <c r="R131" i="2"/>
  <c r="S131" i="2"/>
  <c r="T131" i="2"/>
  <c r="U131" i="2"/>
  <c r="W131" i="2"/>
  <c r="X131" i="2"/>
  <c r="Z131" i="2"/>
  <c r="AA131" i="2"/>
  <c r="AB131" i="2"/>
  <c r="AC131" i="2"/>
  <c r="AD131" i="2"/>
  <c r="AE131" i="2"/>
  <c r="AF131" i="2"/>
  <c r="AH131" i="2"/>
  <c r="O132" i="2"/>
  <c r="P132" i="2"/>
  <c r="Q132" i="2"/>
  <c r="R132" i="2"/>
  <c r="S132" i="2"/>
  <c r="T132" i="2"/>
  <c r="U132" i="2"/>
  <c r="W132" i="2"/>
  <c r="X132" i="2"/>
  <c r="Z132" i="2"/>
  <c r="AA132" i="2"/>
  <c r="AB132" i="2"/>
  <c r="AC132" i="2"/>
  <c r="AD132" i="2"/>
  <c r="AE132" i="2"/>
  <c r="AF132" i="2"/>
  <c r="AH132" i="2"/>
  <c r="O133" i="2"/>
  <c r="P133" i="2"/>
  <c r="Q133" i="2"/>
  <c r="R133" i="2"/>
  <c r="S133" i="2"/>
  <c r="T133" i="2"/>
  <c r="U133" i="2"/>
  <c r="W133" i="2"/>
  <c r="X133" i="2"/>
  <c r="Z133" i="2"/>
  <c r="AA133" i="2"/>
  <c r="AB133" i="2"/>
  <c r="AC133" i="2"/>
  <c r="AD133" i="2"/>
  <c r="AE133" i="2"/>
  <c r="AF133" i="2"/>
  <c r="AH133" i="2"/>
  <c r="O134" i="2"/>
  <c r="P134" i="2"/>
  <c r="Q134" i="2"/>
  <c r="R134" i="2"/>
  <c r="S134" i="2"/>
  <c r="T134" i="2"/>
  <c r="U134" i="2"/>
  <c r="W134" i="2"/>
  <c r="X134" i="2"/>
  <c r="Z134" i="2"/>
  <c r="AA134" i="2"/>
  <c r="AB134" i="2"/>
  <c r="AC134" i="2"/>
  <c r="AD134" i="2"/>
  <c r="AE134" i="2"/>
  <c r="AF134" i="2"/>
  <c r="AH134" i="2"/>
  <c r="O135" i="2"/>
  <c r="P135" i="2"/>
  <c r="Q135" i="2"/>
  <c r="R135" i="2"/>
  <c r="S135" i="2"/>
  <c r="T135" i="2"/>
  <c r="U135" i="2"/>
  <c r="W135" i="2"/>
  <c r="X135" i="2"/>
  <c r="Z135" i="2"/>
  <c r="AA135" i="2"/>
  <c r="AB135" i="2"/>
  <c r="AC135" i="2"/>
  <c r="AD135" i="2"/>
  <c r="AE135" i="2"/>
  <c r="AF135" i="2"/>
  <c r="AH135" i="2"/>
  <c r="O136" i="2"/>
  <c r="P136" i="2"/>
  <c r="Q136" i="2"/>
  <c r="R136" i="2"/>
  <c r="S136" i="2"/>
  <c r="T136" i="2"/>
  <c r="U136" i="2"/>
  <c r="W136" i="2"/>
  <c r="X136" i="2"/>
  <c r="Z136" i="2"/>
  <c r="AA136" i="2"/>
  <c r="AB136" i="2"/>
  <c r="AC136" i="2"/>
  <c r="AD136" i="2"/>
  <c r="AE136" i="2"/>
  <c r="AF136" i="2"/>
  <c r="AH136" i="2"/>
  <c r="O137" i="2"/>
  <c r="P137" i="2"/>
  <c r="Q137" i="2"/>
  <c r="R137" i="2"/>
  <c r="S137" i="2"/>
  <c r="T137" i="2"/>
  <c r="U137" i="2"/>
  <c r="W137" i="2"/>
  <c r="X137" i="2"/>
  <c r="Z137" i="2"/>
  <c r="AA137" i="2"/>
  <c r="AB137" i="2"/>
  <c r="AC137" i="2"/>
  <c r="AD137" i="2"/>
  <c r="AE137" i="2"/>
  <c r="AF137" i="2"/>
  <c r="AH137" i="2"/>
  <c r="O138" i="2"/>
  <c r="P138" i="2"/>
  <c r="Q138" i="2"/>
  <c r="R138" i="2"/>
  <c r="S138" i="2"/>
  <c r="T138" i="2"/>
  <c r="U138" i="2"/>
  <c r="W138" i="2"/>
  <c r="X138" i="2"/>
  <c r="Z138" i="2"/>
  <c r="AA138" i="2"/>
  <c r="AB138" i="2"/>
  <c r="AC138" i="2"/>
  <c r="AD138" i="2"/>
  <c r="AE138" i="2"/>
  <c r="AF138" i="2"/>
  <c r="AH138" i="2"/>
  <c r="O139" i="2"/>
  <c r="P139" i="2"/>
  <c r="Q139" i="2"/>
  <c r="R139" i="2"/>
  <c r="S139" i="2"/>
  <c r="T139" i="2"/>
  <c r="U139" i="2"/>
  <c r="W139" i="2"/>
  <c r="X139" i="2"/>
  <c r="Z139" i="2"/>
  <c r="AA139" i="2"/>
  <c r="AB139" i="2"/>
  <c r="AC139" i="2"/>
  <c r="AD139" i="2"/>
  <c r="AE139" i="2"/>
  <c r="AF139" i="2"/>
  <c r="AH139" i="2"/>
  <c r="O140" i="2"/>
  <c r="P140" i="2"/>
  <c r="Q140" i="2"/>
  <c r="R140" i="2"/>
  <c r="S140" i="2"/>
  <c r="T140" i="2"/>
  <c r="U140" i="2"/>
  <c r="W140" i="2"/>
  <c r="X140" i="2"/>
  <c r="Z140" i="2"/>
  <c r="AA140" i="2"/>
  <c r="AB140" i="2"/>
  <c r="AC140" i="2"/>
  <c r="AD140" i="2"/>
  <c r="AE140" i="2"/>
  <c r="AF140" i="2"/>
  <c r="AH140" i="2"/>
  <c r="O141" i="2"/>
  <c r="P141" i="2"/>
  <c r="Q141" i="2"/>
  <c r="R141" i="2"/>
  <c r="S141" i="2"/>
  <c r="T141" i="2"/>
  <c r="U141" i="2"/>
  <c r="W141" i="2"/>
  <c r="X141" i="2"/>
  <c r="Z141" i="2"/>
  <c r="AA141" i="2"/>
  <c r="AB141" i="2"/>
  <c r="AC141" i="2"/>
  <c r="AD141" i="2"/>
  <c r="AE141" i="2"/>
  <c r="AF141" i="2"/>
  <c r="AH141" i="2"/>
  <c r="O142" i="2"/>
  <c r="P142" i="2"/>
  <c r="Q142" i="2"/>
  <c r="R142" i="2"/>
  <c r="S142" i="2"/>
  <c r="T142" i="2"/>
  <c r="U142" i="2"/>
  <c r="W142" i="2"/>
  <c r="X142" i="2"/>
  <c r="Z142" i="2"/>
  <c r="AA142" i="2"/>
  <c r="AB142" i="2"/>
  <c r="AC142" i="2"/>
  <c r="AD142" i="2"/>
  <c r="AE142" i="2"/>
  <c r="AF142" i="2"/>
  <c r="AH142" i="2"/>
  <c r="O143" i="2"/>
  <c r="P143" i="2"/>
  <c r="Q143" i="2"/>
  <c r="R143" i="2"/>
  <c r="S143" i="2"/>
  <c r="T143" i="2"/>
  <c r="U143" i="2"/>
  <c r="W143" i="2"/>
  <c r="X143" i="2"/>
  <c r="Z143" i="2"/>
  <c r="AA143" i="2"/>
  <c r="AB143" i="2"/>
  <c r="AC143" i="2"/>
  <c r="AD143" i="2"/>
  <c r="AE143" i="2"/>
  <c r="AF143" i="2"/>
  <c r="AH143" i="2"/>
  <c r="O144" i="2"/>
  <c r="P144" i="2"/>
  <c r="Q144" i="2"/>
  <c r="R144" i="2"/>
  <c r="S144" i="2"/>
  <c r="T144" i="2"/>
  <c r="U144" i="2"/>
  <c r="W144" i="2"/>
  <c r="X144" i="2"/>
  <c r="Z144" i="2"/>
  <c r="AA144" i="2"/>
  <c r="AB144" i="2"/>
  <c r="AC144" i="2"/>
  <c r="AD144" i="2"/>
  <c r="AE144" i="2"/>
  <c r="AF144" i="2"/>
  <c r="AH144" i="2"/>
  <c r="O145" i="2"/>
  <c r="P145" i="2"/>
  <c r="Q145" i="2"/>
  <c r="R145" i="2"/>
  <c r="S145" i="2"/>
  <c r="T145" i="2"/>
  <c r="U145" i="2"/>
  <c r="W145" i="2"/>
  <c r="X145" i="2"/>
  <c r="Z145" i="2"/>
  <c r="AA145" i="2"/>
  <c r="AB145" i="2"/>
  <c r="AC145" i="2"/>
  <c r="AD145" i="2"/>
  <c r="AE145" i="2"/>
  <c r="AF145" i="2"/>
  <c r="AH145" i="2"/>
  <c r="O146" i="2"/>
  <c r="P146" i="2"/>
  <c r="Q146" i="2"/>
  <c r="R146" i="2"/>
  <c r="S146" i="2"/>
  <c r="T146" i="2"/>
  <c r="U146" i="2"/>
  <c r="W146" i="2"/>
  <c r="X146" i="2"/>
  <c r="Z146" i="2"/>
  <c r="AA146" i="2"/>
  <c r="AB146" i="2"/>
  <c r="AC146" i="2"/>
  <c r="AD146" i="2"/>
  <c r="AE146" i="2"/>
  <c r="AF146" i="2"/>
  <c r="AH146" i="2"/>
  <c r="O147" i="2"/>
  <c r="P147" i="2"/>
  <c r="Q147" i="2"/>
  <c r="R147" i="2"/>
  <c r="S147" i="2"/>
  <c r="T147" i="2"/>
  <c r="U147" i="2"/>
  <c r="W147" i="2"/>
  <c r="X147" i="2"/>
  <c r="Z147" i="2"/>
  <c r="AA147" i="2"/>
  <c r="AB147" i="2"/>
  <c r="AC147" i="2"/>
  <c r="AD147" i="2"/>
  <c r="AE147" i="2"/>
  <c r="AF147" i="2"/>
  <c r="AH147" i="2"/>
  <c r="O148" i="2"/>
  <c r="P148" i="2"/>
  <c r="Q148" i="2"/>
  <c r="R148" i="2"/>
  <c r="S148" i="2"/>
  <c r="T148" i="2"/>
  <c r="U148" i="2"/>
  <c r="W148" i="2"/>
  <c r="X148" i="2"/>
  <c r="Z148" i="2"/>
  <c r="AA148" i="2"/>
  <c r="AB148" i="2"/>
  <c r="AC148" i="2"/>
  <c r="AD148" i="2"/>
  <c r="AE148" i="2"/>
  <c r="AF148" i="2"/>
  <c r="AH148" i="2"/>
  <c r="O149" i="2"/>
  <c r="P149" i="2"/>
  <c r="Q149" i="2"/>
  <c r="R149" i="2"/>
  <c r="S149" i="2"/>
  <c r="T149" i="2"/>
  <c r="U149" i="2"/>
  <c r="W149" i="2"/>
  <c r="X149" i="2"/>
  <c r="Z149" i="2"/>
  <c r="AA149" i="2"/>
  <c r="AB149" i="2"/>
  <c r="AC149" i="2"/>
  <c r="AD149" i="2"/>
  <c r="AE149" i="2"/>
  <c r="AF149" i="2"/>
  <c r="AH149" i="2"/>
  <c r="O150" i="2"/>
  <c r="P150" i="2"/>
  <c r="Q150" i="2"/>
  <c r="R150" i="2"/>
  <c r="S150" i="2"/>
  <c r="T150" i="2"/>
  <c r="U150" i="2"/>
  <c r="W150" i="2"/>
  <c r="X150" i="2"/>
  <c r="Z150" i="2"/>
  <c r="AA150" i="2"/>
  <c r="AB150" i="2"/>
  <c r="AC150" i="2"/>
  <c r="AD150" i="2"/>
  <c r="AE150" i="2"/>
  <c r="AF150" i="2"/>
  <c r="AH150" i="2"/>
  <c r="O151" i="2"/>
  <c r="P151" i="2"/>
  <c r="Q151" i="2"/>
  <c r="R151" i="2"/>
  <c r="S151" i="2"/>
  <c r="T151" i="2"/>
  <c r="U151" i="2"/>
  <c r="W151" i="2"/>
  <c r="X151" i="2"/>
  <c r="Z151" i="2"/>
  <c r="AA151" i="2"/>
  <c r="AB151" i="2"/>
  <c r="AC151" i="2"/>
  <c r="AD151" i="2"/>
  <c r="AE151" i="2"/>
  <c r="AF151" i="2"/>
  <c r="AH151" i="2"/>
  <c r="O152" i="2"/>
  <c r="P152" i="2"/>
  <c r="Q152" i="2"/>
  <c r="R152" i="2"/>
  <c r="S152" i="2"/>
  <c r="T152" i="2"/>
  <c r="U152" i="2"/>
  <c r="W152" i="2"/>
  <c r="X152" i="2"/>
  <c r="Z152" i="2"/>
  <c r="AA152" i="2"/>
  <c r="AB152" i="2"/>
  <c r="AC152" i="2"/>
  <c r="AD152" i="2"/>
  <c r="AE152" i="2"/>
  <c r="AF152" i="2"/>
  <c r="AH152" i="2"/>
  <c r="O153" i="2"/>
  <c r="P153" i="2"/>
  <c r="Q153" i="2"/>
  <c r="R153" i="2"/>
  <c r="S153" i="2"/>
  <c r="T153" i="2"/>
  <c r="U153" i="2"/>
  <c r="W153" i="2"/>
  <c r="X153" i="2"/>
  <c r="Z153" i="2"/>
  <c r="AA153" i="2"/>
  <c r="AB153" i="2"/>
  <c r="AC153" i="2"/>
  <c r="AD153" i="2"/>
  <c r="AE153" i="2"/>
  <c r="AF153" i="2"/>
  <c r="AH153" i="2"/>
  <c r="O154" i="2"/>
  <c r="P154" i="2"/>
  <c r="Q154" i="2"/>
  <c r="R154" i="2"/>
  <c r="S154" i="2"/>
  <c r="T154" i="2"/>
  <c r="U154" i="2"/>
  <c r="W154" i="2"/>
  <c r="X154" i="2"/>
  <c r="Z154" i="2"/>
  <c r="AA154" i="2"/>
  <c r="AB154" i="2"/>
  <c r="AC154" i="2"/>
  <c r="AD154" i="2"/>
  <c r="AE154" i="2"/>
  <c r="AF154" i="2"/>
  <c r="AH154" i="2"/>
  <c r="O155" i="2"/>
  <c r="P155" i="2"/>
  <c r="Q155" i="2"/>
  <c r="R155" i="2"/>
  <c r="S155" i="2"/>
  <c r="T155" i="2"/>
  <c r="U155" i="2"/>
  <c r="W155" i="2"/>
  <c r="X155" i="2"/>
  <c r="Z155" i="2"/>
  <c r="AA155" i="2"/>
  <c r="AB155" i="2"/>
  <c r="AC155" i="2"/>
  <c r="AD155" i="2"/>
  <c r="AE155" i="2"/>
  <c r="AF155" i="2"/>
  <c r="AH155" i="2"/>
  <c r="O156" i="2"/>
  <c r="P156" i="2"/>
  <c r="Q156" i="2"/>
  <c r="R156" i="2"/>
  <c r="S156" i="2"/>
  <c r="T156" i="2"/>
  <c r="U156" i="2"/>
  <c r="W156" i="2"/>
  <c r="X156" i="2"/>
  <c r="Z156" i="2"/>
  <c r="AA156" i="2"/>
  <c r="AB156" i="2"/>
  <c r="AC156" i="2"/>
  <c r="AD156" i="2"/>
  <c r="AE156" i="2"/>
  <c r="AF156" i="2"/>
  <c r="AH156" i="2"/>
  <c r="O157" i="2"/>
  <c r="P157" i="2"/>
  <c r="Q157" i="2"/>
  <c r="R157" i="2"/>
  <c r="S157" i="2"/>
  <c r="T157" i="2"/>
  <c r="U157" i="2"/>
  <c r="W157" i="2"/>
  <c r="X157" i="2"/>
  <c r="Z157" i="2"/>
  <c r="AA157" i="2"/>
  <c r="AB157" i="2"/>
  <c r="AC157" i="2"/>
  <c r="AD157" i="2"/>
  <c r="AE157" i="2"/>
  <c r="AF157" i="2"/>
  <c r="AH157" i="2"/>
  <c r="O158" i="2"/>
  <c r="P158" i="2"/>
  <c r="Q158" i="2"/>
  <c r="R158" i="2"/>
  <c r="S158" i="2"/>
  <c r="T158" i="2"/>
  <c r="U158" i="2"/>
  <c r="W158" i="2"/>
  <c r="X158" i="2"/>
  <c r="Z158" i="2"/>
  <c r="AA158" i="2"/>
  <c r="AB158" i="2"/>
  <c r="AC158" i="2"/>
  <c r="AD158" i="2"/>
  <c r="AE158" i="2"/>
  <c r="AF158" i="2"/>
  <c r="AH158" i="2"/>
  <c r="O159" i="2"/>
  <c r="P159" i="2"/>
  <c r="Q159" i="2"/>
  <c r="R159" i="2"/>
  <c r="S159" i="2"/>
  <c r="T159" i="2"/>
  <c r="U159" i="2"/>
  <c r="W159" i="2"/>
  <c r="X159" i="2"/>
  <c r="Z159" i="2"/>
  <c r="AA159" i="2"/>
  <c r="AB159" i="2"/>
  <c r="AC159" i="2"/>
  <c r="AD159" i="2"/>
  <c r="AE159" i="2"/>
  <c r="AF159" i="2"/>
  <c r="AH159" i="2"/>
  <c r="O160" i="2"/>
  <c r="P160" i="2"/>
  <c r="Q160" i="2"/>
  <c r="R160" i="2"/>
  <c r="S160" i="2"/>
  <c r="T160" i="2"/>
  <c r="U160" i="2"/>
  <c r="W160" i="2"/>
  <c r="X160" i="2"/>
  <c r="Z160" i="2"/>
  <c r="AA160" i="2"/>
  <c r="AB160" i="2"/>
  <c r="AC160" i="2"/>
  <c r="AD160" i="2"/>
  <c r="AE160" i="2"/>
  <c r="AF160" i="2"/>
  <c r="AH160" i="2"/>
  <c r="O161" i="2"/>
  <c r="P161" i="2"/>
  <c r="Q161" i="2"/>
  <c r="R161" i="2"/>
  <c r="S161" i="2"/>
  <c r="T161" i="2"/>
  <c r="U161" i="2"/>
  <c r="W161" i="2"/>
  <c r="X161" i="2"/>
  <c r="Z161" i="2"/>
  <c r="AA161" i="2"/>
  <c r="AB161" i="2"/>
  <c r="AC161" i="2"/>
  <c r="AD161" i="2"/>
  <c r="AE161" i="2"/>
  <c r="AF161" i="2"/>
  <c r="AH161" i="2"/>
  <c r="O162" i="2"/>
  <c r="P162" i="2"/>
  <c r="Q162" i="2"/>
  <c r="R162" i="2"/>
  <c r="S162" i="2"/>
  <c r="T162" i="2"/>
  <c r="U162" i="2"/>
  <c r="W162" i="2"/>
  <c r="X162" i="2"/>
  <c r="Z162" i="2"/>
  <c r="AA162" i="2"/>
  <c r="AB162" i="2"/>
  <c r="AC162" i="2"/>
  <c r="AD162" i="2"/>
  <c r="AE162" i="2"/>
  <c r="AF162" i="2"/>
  <c r="AH162" i="2"/>
  <c r="O163" i="2"/>
  <c r="P163" i="2"/>
  <c r="Q163" i="2"/>
  <c r="R163" i="2"/>
  <c r="S163" i="2"/>
  <c r="T163" i="2"/>
  <c r="U163" i="2"/>
  <c r="W163" i="2"/>
  <c r="X163" i="2"/>
  <c r="Z163" i="2"/>
  <c r="AA163" i="2"/>
  <c r="AB163" i="2"/>
  <c r="AC163" i="2"/>
  <c r="AD163" i="2"/>
  <c r="AE163" i="2"/>
  <c r="AF163" i="2"/>
  <c r="AH163" i="2"/>
  <c r="O164" i="2"/>
  <c r="P164" i="2"/>
  <c r="Q164" i="2"/>
  <c r="R164" i="2"/>
  <c r="S164" i="2"/>
  <c r="T164" i="2"/>
  <c r="U164" i="2"/>
  <c r="W164" i="2"/>
  <c r="X164" i="2"/>
  <c r="Z164" i="2"/>
  <c r="AA164" i="2"/>
  <c r="AB164" i="2"/>
  <c r="AC164" i="2"/>
  <c r="AD164" i="2"/>
  <c r="AE164" i="2"/>
  <c r="AF164" i="2"/>
  <c r="AH164" i="2"/>
  <c r="O165" i="2"/>
  <c r="P165" i="2"/>
  <c r="Q165" i="2"/>
  <c r="R165" i="2"/>
  <c r="S165" i="2"/>
  <c r="T165" i="2"/>
  <c r="U165" i="2"/>
  <c r="W165" i="2"/>
  <c r="X165" i="2"/>
  <c r="Z165" i="2"/>
  <c r="AA165" i="2"/>
  <c r="AB165" i="2"/>
  <c r="AC165" i="2"/>
  <c r="AD165" i="2"/>
  <c r="AE165" i="2"/>
  <c r="AF165" i="2"/>
  <c r="AH165" i="2"/>
  <c r="O166" i="2"/>
  <c r="P166" i="2"/>
  <c r="Q166" i="2"/>
  <c r="R166" i="2"/>
  <c r="S166" i="2"/>
  <c r="T166" i="2"/>
  <c r="U166" i="2"/>
  <c r="W166" i="2"/>
  <c r="X166" i="2"/>
  <c r="Z166" i="2"/>
  <c r="AA166" i="2"/>
  <c r="AB166" i="2"/>
  <c r="AC166" i="2"/>
  <c r="AD166" i="2"/>
  <c r="AE166" i="2"/>
  <c r="AF166" i="2"/>
  <c r="AH166" i="2"/>
  <c r="O167" i="2"/>
  <c r="P167" i="2"/>
  <c r="Q167" i="2"/>
  <c r="R167" i="2"/>
  <c r="S167" i="2"/>
  <c r="T167" i="2"/>
  <c r="U167" i="2"/>
  <c r="W167" i="2"/>
  <c r="X167" i="2"/>
  <c r="Z167" i="2"/>
  <c r="AA167" i="2"/>
  <c r="AB167" i="2"/>
  <c r="AC167" i="2"/>
  <c r="AD167" i="2"/>
  <c r="AE167" i="2"/>
  <c r="AF167" i="2"/>
  <c r="AH167" i="2"/>
  <c r="O168" i="2"/>
  <c r="P168" i="2"/>
  <c r="Q168" i="2"/>
  <c r="R168" i="2"/>
  <c r="S168" i="2"/>
  <c r="T168" i="2"/>
  <c r="U168" i="2"/>
  <c r="W168" i="2"/>
  <c r="X168" i="2"/>
  <c r="Z168" i="2"/>
  <c r="AA168" i="2"/>
  <c r="AB168" i="2"/>
  <c r="AC168" i="2"/>
  <c r="AD168" i="2"/>
  <c r="AE168" i="2"/>
  <c r="AF168" i="2"/>
  <c r="AH168" i="2"/>
  <c r="O169" i="2"/>
  <c r="P169" i="2"/>
  <c r="Q169" i="2"/>
  <c r="R169" i="2"/>
  <c r="S169" i="2"/>
  <c r="T169" i="2"/>
  <c r="U169" i="2"/>
  <c r="W169" i="2"/>
  <c r="X169" i="2"/>
  <c r="Z169" i="2"/>
  <c r="AA169" i="2"/>
  <c r="AB169" i="2"/>
  <c r="AC169" i="2"/>
  <c r="AD169" i="2"/>
  <c r="AE169" i="2"/>
  <c r="AF169" i="2"/>
  <c r="AH169" i="2"/>
  <c r="O170" i="2"/>
  <c r="P170" i="2"/>
  <c r="Q170" i="2"/>
  <c r="R170" i="2"/>
  <c r="S170" i="2"/>
  <c r="T170" i="2"/>
  <c r="U170" i="2"/>
  <c r="W170" i="2"/>
  <c r="X170" i="2"/>
  <c r="Z170" i="2"/>
  <c r="AA170" i="2"/>
  <c r="AB170" i="2"/>
  <c r="AC170" i="2"/>
  <c r="AD170" i="2"/>
  <c r="AE170" i="2"/>
  <c r="AF170" i="2"/>
  <c r="AH170" i="2"/>
  <c r="O171" i="2"/>
  <c r="P171" i="2"/>
  <c r="Q171" i="2"/>
  <c r="R171" i="2"/>
  <c r="S171" i="2"/>
  <c r="T171" i="2"/>
  <c r="U171" i="2"/>
  <c r="W171" i="2"/>
  <c r="X171" i="2"/>
  <c r="Z171" i="2"/>
  <c r="AA171" i="2"/>
  <c r="AB171" i="2"/>
  <c r="AC171" i="2"/>
  <c r="AD171" i="2"/>
  <c r="AE171" i="2"/>
  <c r="AF171" i="2"/>
  <c r="AH171" i="2"/>
  <c r="O172" i="2"/>
  <c r="P172" i="2"/>
  <c r="Q172" i="2"/>
  <c r="R172" i="2"/>
  <c r="S172" i="2"/>
  <c r="T172" i="2"/>
  <c r="U172" i="2"/>
  <c r="W172" i="2"/>
  <c r="X172" i="2"/>
  <c r="Z172" i="2"/>
  <c r="AA172" i="2"/>
  <c r="AB172" i="2"/>
  <c r="AC172" i="2"/>
  <c r="AD172" i="2"/>
  <c r="AE172" i="2"/>
  <c r="AF172" i="2"/>
  <c r="AH172" i="2"/>
  <c r="O173" i="2"/>
  <c r="P173" i="2"/>
  <c r="Q173" i="2"/>
  <c r="R173" i="2"/>
  <c r="S173" i="2"/>
  <c r="T173" i="2"/>
  <c r="U173" i="2"/>
  <c r="W173" i="2"/>
  <c r="X173" i="2"/>
  <c r="Z173" i="2"/>
  <c r="AA173" i="2"/>
  <c r="AB173" i="2"/>
  <c r="AC173" i="2"/>
  <c r="AD173" i="2"/>
  <c r="AE173" i="2"/>
  <c r="AF173" i="2"/>
  <c r="AH173" i="2"/>
  <c r="O174" i="2"/>
  <c r="P174" i="2"/>
  <c r="Q174" i="2"/>
  <c r="R174" i="2"/>
  <c r="S174" i="2"/>
  <c r="T174" i="2"/>
  <c r="U174" i="2"/>
  <c r="W174" i="2"/>
  <c r="X174" i="2"/>
  <c r="Z174" i="2"/>
  <c r="AA174" i="2"/>
  <c r="AB174" i="2"/>
  <c r="AC174" i="2"/>
  <c r="AD174" i="2"/>
  <c r="AE174" i="2"/>
  <c r="AF174" i="2"/>
  <c r="AH174" i="2"/>
  <c r="O175" i="2"/>
  <c r="P175" i="2"/>
  <c r="Q175" i="2"/>
  <c r="R175" i="2"/>
  <c r="S175" i="2"/>
  <c r="T175" i="2"/>
  <c r="U175" i="2"/>
  <c r="W175" i="2"/>
  <c r="X175" i="2"/>
  <c r="Z175" i="2"/>
  <c r="AA175" i="2"/>
  <c r="AB175" i="2"/>
  <c r="AC175" i="2"/>
  <c r="AD175" i="2"/>
  <c r="AE175" i="2"/>
  <c r="AF175" i="2"/>
  <c r="AH175" i="2"/>
  <c r="O176" i="2"/>
  <c r="P176" i="2"/>
  <c r="Q176" i="2"/>
  <c r="R176" i="2"/>
  <c r="S176" i="2"/>
  <c r="T176" i="2"/>
  <c r="U176" i="2"/>
  <c r="W176" i="2"/>
  <c r="X176" i="2"/>
  <c r="Z176" i="2"/>
  <c r="AA176" i="2"/>
  <c r="AB176" i="2"/>
  <c r="AC176" i="2"/>
  <c r="AD176" i="2"/>
  <c r="AE176" i="2"/>
  <c r="AF176" i="2"/>
  <c r="AH176" i="2"/>
  <c r="O177" i="2"/>
  <c r="P177" i="2"/>
  <c r="Q177" i="2"/>
  <c r="R177" i="2"/>
  <c r="S177" i="2"/>
  <c r="T177" i="2"/>
  <c r="U177" i="2"/>
  <c r="W177" i="2"/>
  <c r="X177" i="2"/>
  <c r="Z177" i="2"/>
  <c r="AA177" i="2"/>
  <c r="AB177" i="2"/>
  <c r="AC177" i="2"/>
  <c r="AD177" i="2"/>
  <c r="AE177" i="2"/>
  <c r="AF177" i="2"/>
  <c r="AH177" i="2"/>
  <c r="U178" i="2"/>
  <c r="W178" i="2"/>
  <c r="Z178" i="2"/>
  <c r="AF178" i="2"/>
  <c r="O179" i="2"/>
  <c r="P179" i="2"/>
  <c r="Q179" i="2"/>
  <c r="R179" i="2"/>
  <c r="S179" i="2"/>
  <c r="T179" i="2"/>
  <c r="U179" i="2"/>
  <c r="W179" i="2"/>
  <c r="X179" i="2"/>
  <c r="Z179" i="2"/>
  <c r="AA179" i="2"/>
  <c r="AB179" i="2"/>
  <c r="AC179" i="2"/>
  <c r="AD179" i="2"/>
  <c r="AE179" i="2"/>
  <c r="AF179" i="2"/>
  <c r="AH179" i="2"/>
  <c r="O180" i="2"/>
  <c r="P180" i="2"/>
  <c r="Q180" i="2"/>
  <c r="R180" i="2"/>
  <c r="S180" i="2"/>
  <c r="T180" i="2"/>
  <c r="U180" i="2"/>
  <c r="W180" i="2"/>
  <c r="X180" i="2"/>
  <c r="Z180" i="2"/>
  <c r="AA180" i="2"/>
  <c r="AB180" i="2"/>
  <c r="AC180" i="2"/>
  <c r="AD180" i="2"/>
  <c r="AE180" i="2"/>
  <c r="AF180" i="2"/>
  <c r="AH180" i="2"/>
  <c r="O181" i="2"/>
  <c r="P181" i="2"/>
  <c r="Q181" i="2"/>
  <c r="R181" i="2"/>
  <c r="S181" i="2"/>
  <c r="T181" i="2"/>
  <c r="U181" i="2"/>
  <c r="W181" i="2"/>
  <c r="X181" i="2"/>
  <c r="Z181" i="2"/>
  <c r="AA181" i="2"/>
  <c r="AB181" i="2"/>
  <c r="AC181" i="2"/>
  <c r="AD181" i="2"/>
  <c r="AE181" i="2"/>
  <c r="AF181" i="2"/>
  <c r="AH181" i="2"/>
  <c r="O182" i="2"/>
  <c r="P182" i="2"/>
  <c r="Q182" i="2"/>
  <c r="R182" i="2"/>
  <c r="S182" i="2"/>
  <c r="T182" i="2"/>
  <c r="U182" i="2"/>
  <c r="W182" i="2"/>
  <c r="X182" i="2"/>
  <c r="Z182" i="2"/>
  <c r="AA182" i="2"/>
  <c r="AB182" i="2"/>
  <c r="AC182" i="2"/>
  <c r="AD182" i="2"/>
  <c r="AE182" i="2"/>
  <c r="AF182" i="2"/>
  <c r="AH182" i="2"/>
  <c r="O183" i="2"/>
  <c r="P183" i="2"/>
  <c r="Q183" i="2"/>
  <c r="R183" i="2"/>
  <c r="S183" i="2"/>
  <c r="T183" i="2"/>
  <c r="U183" i="2"/>
  <c r="W183" i="2"/>
  <c r="X183" i="2"/>
  <c r="Z183" i="2"/>
  <c r="AA183" i="2"/>
  <c r="AB183" i="2"/>
  <c r="AC183" i="2"/>
  <c r="AD183" i="2"/>
  <c r="AE183" i="2"/>
  <c r="AF183" i="2"/>
  <c r="AH183" i="2"/>
  <c r="O184" i="2"/>
  <c r="P184" i="2"/>
  <c r="Q184" i="2"/>
  <c r="R184" i="2"/>
  <c r="S184" i="2"/>
  <c r="T184" i="2"/>
  <c r="U184" i="2"/>
  <c r="W184" i="2"/>
  <c r="X184" i="2"/>
  <c r="Z184" i="2"/>
  <c r="AA184" i="2"/>
  <c r="AB184" i="2"/>
  <c r="AC184" i="2"/>
  <c r="AD184" i="2"/>
  <c r="AE184" i="2"/>
  <c r="AF184" i="2"/>
  <c r="AH184" i="2"/>
  <c r="O185" i="2"/>
  <c r="P185" i="2"/>
  <c r="Q185" i="2"/>
  <c r="R185" i="2"/>
  <c r="S185" i="2"/>
  <c r="T185" i="2"/>
  <c r="U185" i="2"/>
  <c r="W185" i="2"/>
  <c r="X185" i="2"/>
  <c r="Z185" i="2"/>
  <c r="AA185" i="2"/>
  <c r="AB185" i="2"/>
  <c r="AC185" i="2"/>
  <c r="AD185" i="2"/>
  <c r="AE185" i="2"/>
  <c r="AF185" i="2"/>
  <c r="AH185" i="2"/>
  <c r="O186" i="2"/>
  <c r="P186" i="2"/>
  <c r="Q186" i="2"/>
  <c r="R186" i="2"/>
  <c r="S186" i="2"/>
  <c r="T186" i="2"/>
  <c r="U186" i="2"/>
  <c r="W186" i="2"/>
  <c r="X186" i="2"/>
  <c r="Z186" i="2"/>
  <c r="AA186" i="2"/>
  <c r="AB186" i="2"/>
  <c r="AC186" i="2"/>
  <c r="AD186" i="2"/>
  <c r="AE186" i="2"/>
  <c r="AF186" i="2"/>
  <c r="AH186" i="2"/>
  <c r="O187" i="2"/>
  <c r="P187" i="2"/>
  <c r="Q187" i="2"/>
  <c r="R187" i="2"/>
  <c r="S187" i="2"/>
  <c r="T187" i="2"/>
  <c r="U187" i="2"/>
  <c r="W187" i="2"/>
  <c r="X187" i="2"/>
  <c r="Z187" i="2"/>
  <c r="AA187" i="2"/>
  <c r="AB187" i="2"/>
  <c r="AC187" i="2"/>
  <c r="AD187" i="2"/>
  <c r="AE187" i="2"/>
  <c r="AF187" i="2"/>
  <c r="AH187" i="2"/>
  <c r="O188" i="2"/>
  <c r="P188" i="2"/>
  <c r="Q188" i="2"/>
  <c r="R188" i="2"/>
  <c r="S188" i="2"/>
  <c r="T188" i="2"/>
  <c r="U188" i="2"/>
  <c r="W188" i="2"/>
  <c r="X188" i="2"/>
  <c r="Z188" i="2"/>
  <c r="AA188" i="2"/>
  <c r="AB188" i="2"/>
  <c r="AC188" i="2"/>
  <c r="AD188" i="2"/>
  <c r="AE188" i="2"/>
  <c r="AF188" i="2"/>
  <c r="AH188" i="2"/>
  <c r="O189" i="2"/>
  <c r="P189" i="2"/>
  <c r="Q189" i="2"/>
  <c r="R189" i="2"/>
  <c r="S189" i="2"/>
  <c r="T189" i="2"/>
  <c r="U189" i="2"/>
  <c r="W189" i="2"/>
  <c r="X189" i="2"/>
  <c r="Z189" i="2"/>
  <c r="AA189" i="2"/>
  <c r="AB189" i="2"/>
  <c r="AC189" i="2"/>
  <c r="AD189" i="2"/>
  <c r="AE189" i="2"/>
  <c r="AF189" i="2"/>
  <c r="AH189" i="2"/>
  <c r="O190" i="2"/>
  <c r="P190" i="2"/>
  <c r="Q190" i="2"/>
  <c r="R190" i="2"/>
  <c r="S190" i="2"/>
  <c r="T190" i="2"/>
  <c r="U190" i="2"/>
  <c r="W190" i="2"/>
  <c r="X190" i="2"/>
  <c r="Z190" i="2"/>
  <c r="AA190" i="2"/>
  <c r="AB190" i="2"/>
  <c r="AC190" i="2"/>
  <c r="AD190" i="2"/>
  <c r="AE190" i="2"/>
  <c r="AF190" i="2"/>
  <c r="AH190" i="2"/>
  <c r="O191" i="2"/>
  <c r="P191" i="2"/>
  <c r="Q191" i="2"/>
  <c r="R191" i="2"/>
  <c r="S191" i="2"/>
  <c r="T191" i="2"/>
  <c r="U191" i="2"/>
  <c r="W191" i="2"/>
  <c r="X191" i="2"/>
  <c r="Z191" i="2"/>
  <c r="AA191" i="2"/>
  <c r="AB191" i="2"/>
  <c r="AC191" i="2"/>
  <c r="AD191" i="2"/>
  <c r="AE191" i="2"/>
  <c r="AF191" i="2"/>
  <c r="AH191" i="2"/>
  <c r="O192" i="2"/>
  <c r="P192" i="2"/>
  <c r="Q192" i="2"/>
  <c r="R192" i="2"/>
  <c r="S192" i="2"/>
  <c r="T192" i="2"/>
  <c r="U192" i="2"/>
  <c r="W192" i="2"/>
  <c r="X192" i="2"/>
  <c r="Z192" i="2"/>
  <c r="AA192" i="2"/>
  <c r="AB192" i="2"/>
  <c r="AC192" i="2"/>
  <c r="AD192" i="2"/>
  <c r="AE192" i="2"/>
  <c r="AF192" i="2"/>
  <c r="AH192" i="2"/>
  <c r="O193" i="2"/>
  <c r="P193" i="2"/>
  <c r="Q193" i="2"/>
  <c r="R193" i="2"/>
  <c r="S193" i="2"/>
  <c r="T193" i="2"/>
  <c r="U193" i="2"/>
  <c r="W193" i="2"/>
  <c r="X193" i="2"/>
  <c r="Z193" i="2"/>
  <c r="AA193" i="2"/>
  <c r="AB193" i="2"/>
  <c r="AC193" i="2"/>
  <c r="AD193" i="2"/>
  <c r="AE193" i="2"/>
  <c r="AF193" i="2"/>
  <c r="AH193" i="2"/>
  <c r="O194" i="2"/>
  <c r="P194" i="2"/>
  <c r="Q194" i="2"/>
  <c r="R194" i="2"/>
  <c r="S194" i="2"/>
  <c r="T194" i="2"/>
  <c r="U194" i="2"/>
  <c r="W194" i="2"/>
  <c r="X194" i="2"/>
  <c r="Z194" i="2"/>
  <c r="AA194" i="2"/>
  <c r="AB194" i="2"/>
  <c r="AC194" i="2"/>
  <c r="AD194" i="2"/>
  <c r="AE194" i="2"/>
  <c r="AF194" i="2"/>
  <c r="AH194" i="2"/>
  <c r="O195" i="2"/>
  <c r="P195" i="2"/>
  <c r="Q195" i="2"/>
  <c r="R195" i="2"/>
  <c r="S195" i="2"/>
  <c r="T195" i="2"/>
  <c r="U195" i="2"/>
  <c r="W195" i="2"/>
  <c r="X195" i="2"/>
  <c r="Z195" i="2"/>
  <c r="AA195" i="2"/>
  <c r="AB195" i="2"/>
  <c r="AC195" i="2"/>
  <c r="AD195" i="2"/>
  <c r="AE195" i="2"/>
  <c r="AF195" i="2"/>
  <c r="AH195" i="2"/>
  <c r="O196" i="2"/>
  <c r="P196" i="2"/>
  <c r="Q196" i="2"/>
  <c r="R196" i="2"/>
  <c r="S196" i="2"/>
  <c r="T196" i="2"/>
  <c r="U196" i="2"/>
  <c r="W196" i="2"/>
  <c r="X196" i="2"/>
  <c r="Z196" i="2"/>
  <c r="AA196" i="2"/>
  <c r="AB196" i="2"/>
  <c r="AC196" i="2"/>
  <c r="AD196" i="2"/>
  <c r="AE196" i="2"/>
  <c r="AF196" i="2"/>
  <c r="AH196" i="2"/>
  <c r="O197" i="2"/>
  <c r="P197" i="2"/>
  <c r="Q197" i="2"/>
  <c r="R197" i="2"/>
  <c r="S197" i="2"/>
  <c r="T197" i="2"/>
  <c r="U197" i="2"/>
  <c r="W197" i="2"/>
  <c r="X197" i="2"/>
  <c r="Z197" i="2"/>
  <c r="AA197" i="2"/>
  <c r="AB197" i="2"/>
  <c r="AC197" i="2"/>
  <c r="AD197" i="2"/>
  <c r="AE197" i="2"/>
  <c r="AF197" i="2"/>
  <c r="AH197" i="2"/>
  <c r="O198" i="2"/>
  <c r="P198" i="2"/>
  <c r="Q198" i="2"/>
  <c r="R198" i="2"/>
  <c r="S198" i="2"/>
  <c r="T198" i="2"/>
  <c r="U198" i="2"/>
  <c r="W198" i="2"/>
  <c r="X198" i="2"/>
  <c r="Z198" i="2"/>
  <c r="AA198" i="2"/>
  <c r="AB198" i="2"/>
  <c r="AC198" i="2"/>
  <c r="AD198" i="2"/>
  <c r="AE198" i="2"/>
  <c r="AF198" i="2"/>
  <c r="AH198" i="2"/>
  <c r="O199" i="2"/>
  <c r="P199" i="2"/>
  <c r="Q199" i="2"/>
  <c r="R199" i="2"/>
  <c r="S199" i="2"/>
  <c r="T199" i="2"/>
  <c r="U199" i="2"/>
  <c r="W199" i="2"/>
  <c r="X199" i="2"/>
  <c r="Z199" i="2"/>
  <c r="AA199" i="2"/>
  <c r="AB199" i="2"/>
  <c r="AC199" i="2"/>
  <c r="AD199" i="2"/>
  <c r="AE199" i="2"/>
  <c r="AF199" i="2"/>
  <c r="AH199" i="2"/>
  <c r="O200" i="2"/>
  <c r="P200" i="2"/>
  <c r="Q200" i="2"/>
  <c r="R200" i="2"/>
  <c r="S200" i="2"/>
  <c r="T200" i="2"/>
  <c r="U200" i="2"/>
  <c r="W200" i="2"/>
  <c r="X200" i="2"/>
  <c r="Z200" i="2"/>
  <c r="AA200" i="2"/>
  <c r="AB200" i="2"/>
  <c r="AC200" i="2"/>
  <c r="AD200" i="2"/>
  <c r="AE200" i="2"/>
  <c r="AF200" i="2"/>
  <c r="AH200" i="2"/>
  <c r="O201" i="2"/>
  <c r="P201" i="2"/>
  <c r="Q201" i="2"/>
  <c r="R201" i="2"/>
  <c r="S201" i="2"/>
  <c r="T201" i="2"/>
  <c r="U201" i="2"/>
  <c r="W201" i="2"/>
  <c r="X201" i="2"/>
  <c r="Z201" i="2"/>
  <c r="AA201" i="2"/>
  <c r="AB201" i="2"/>
  <c r="AC201" i="2"/>
  <c r="AD201" i="2"/>
  <c r="AE201" i="2"/>
  <c r="AF201" i="2"/>
  <c r="AH201" i="2"/>
  <c r="O202" i="2"/>
  <c r="P202" i="2"/>
  <c r="Q202" i="2"/>
  <c r="R202" i="2"/>
  <c r="S202" i="2"/>
  <c r="T202" i="2"/>
  <c r="U202" i="2"/>
  <c r="W202" i="2"/>
  <c r="X202" i="2"/>
  <c r="Z202" i="2"/>
  <c r="AA202" i="2"/>
  <c r="AB202" i="2"/>
  <c r="AC202" i="2"/>
  <c r="AD202" i="2"/>
  <c r="AE202" i="2"/>
  <c r="AF202" i="2"/>
  <c r="AH202" i="2"/>
  <c r="O203" i="2"/>
  <c r="P203" i="2"/>
  <c r="Q203" i="2"/>
  <c r="R203" i="2"/>
  <c r="S203" i="2"/>
  <c r="T203" i="2"/>
  <c r="U203" i="2"/>
  <c r="W203" i="2"/>
  <c r="X203" i="2"/>
  <c r="Z203" i="2"/>
  <c r="AA203" i="2"/>
  <c r="AB203" i="2"/>
  <c r="AC203" i="2"/>
  <c r="AD203" i="2"/>
  <c r="AE203" i="2"/>
  <c r="AF203" i="2"/>
  <c r="AH203" i="2"/>
  <c r="O204" i="2"/>
  <c r="P204" i="2"/>
  <c r="Q204" i="2"/>
  <c r="R204" i="2"/>
  <c r="S204" i="2"/>
  <c r="T204" i="2"/>
  <c r="U204" i="2"/>
  <c r="W204" i="2"/>
  <c r="X204" i="2"/>
  <c r="Z204" i="2"/>
  <c r="AA204" i="2"/>
  <c r="AB204" i="2"/>
  <c r="AC204" i="2"/>
  <c r="AD204" i="2"/>
  <c r="AE204" i="2"/>
  <c r="AF204" i="2"/>
  <c r="AH204" i="2"/>
  <c r="O205" i="2"/>
  <c r="P205" i="2"/>
  <c r="Q205" i="2"/>
  <c r="R205" i="2"/>
  <c r="S205" i="2"/>
  <c r="T205" i="2"/>
  <c r="U205" i="2"/>
  <c r="W205" i="2"/>
  <c r="X205" i="2"/>
  <c r="Z205" i="2"/>
  <c r="AA205" i="2"/>
  <c r="AB205" i="2"/>
  <c r="AC205" i="2"/>
  <c r="AD205" i="2"/>
  <c r="AE205" i="2"/>
  <c r="AF205" i="2"/>
  <c r="AH205" i="2"/>
  <c r="O206" i="2"/>
  <c r="P206" i="2"/>
  <c r="Q206" i="2"/>
  <c r="R206" i="2"/>
  <c r="S206" i="2"/>
  <c r="T206" i="2"/>
  <c r="U206" i="2"/>
  <c r="W206" i="2"/>
  <c r="X206" i="2"/>
  <c r="Z206" i="2"/>
  <c r="AA206" i="2"/>
  <c r="AB206" i="2"/>
  <c r="AC206" i="2"/>
  <c r="AD206" i="2"/>
  <c r="AE206" i="2"/>
  <c r="AF206" i="2"/>
  <c r="AH206" i="2"/>
  <c r="O207" i="2"/>
  <c r="P207" i="2"/>
  <c r="Q207" i="2"/>
  <c r="R207" i="2"/>
  <c r="S207" i="2"/>
  <c r="T207" i="2"/>
  <c r="U207" i="2"/>
  <c r="W207" i="2"/>
  <c r="X207" i="2"/>
  <c r="Z207" i="2"/>
  <c r="AA207" i="2"/>
  <c r="AB207" i="2"/>
  <c r="AC207" i="2"/>
  <c r="AD207" i="2"/>
  <c r="AE207" i="2"/>
  <c r="AF207" i="2"/>
  <c r="AH207" i="2"/>
  <c r="O208" i="2"/>
  <c r="P208" i="2"/>
  <c r="Q208" i="2"/>
  <c r="R208" i="2"/>
  <c r="S208" i="2"/>
  <c r="T208" i="2"/>
  <c r="U208" i="2"/>
  <c r="W208" i="2"/>
  <c r="X208" i="2"/>
  <c r="Z208" i="2"/>
  <c r="AA208" i="2"/>
  <c r="AB208" i="2"/>
  <c r="AC208" i="2"/>
  <c r="AD208" i="2"/>
  <c r="AE208" i="2"/>
  <c r="AF208" i="2"/>
  <c r="AH208" i="2"/>
  <c r="O209" i="2"/>
  <c r="P209" i="2"/>
  <c r="Q209" i="2"/>
  <c r="R209" i="2"/>
  <c r="S209" i="2"/>
  <c r="T209" i="2"/>
  <c r="U209" i="2"/>
  <c r="W209" i="2"/>
  <c r="X209" i="2"/>
  <c r="Z209" i="2"/>
  <c r="AA209" i="2"/>
  <c r="AB209" i="2"/>
  <c r="AC209" i="2"/>
  <c r="AD209" i="2"/>
  <c r="AE209" i="2"/>
  <c r="AF209" i="2"/>
  <c r="AH209" i="2"/>
  <c r="O210" i="2"/>
  <c r="P210" i="2"/>
  <c r="Q210" i="2"/>
  <c r="R210" i="2"/>
  <c r="S210" i="2"/>
  <c r="T210" i="2"/>
  <c r="U210" i="2"/>
  <c r="W210" i="2"/>
  <c r="X210" i="2"/>
  <c r="Z210" i="2"/>
  <c r="AA210" i="2"/>
  <c r="AB210" i="2"/>
  <c r="AC210" i="2"/>
  <c r="AD210" i="2"/>
  <c r="AE210" i="2"/>
  <c r="AF210" i="2"/>
  <c r="AH210" i="2"/>
  <c r="O211" i="2"/>
  <c r="P211" i="2"/>
  <c r="Q211" i="2"/>
  <c r="R211" i="2"/>
  <c r="S211" i="2"/>
  <c r="T211" i="2"/>
  <c r="U211" i="2"/>
  <c r="W211" i="2"/>
  <c r="X211" i="2"/>
  <c r="Z211" i="2"/>
  <c r="AA211" i="2"/>
  <c r="AB211" i="2"/>
  <c r="AC211" i="2"/>
  <c r="AD211" i="2"/>
  <c r="AE211" i="2"/>
  <c r="AF211" i="2"/>
  <c r="AH211" i="2"/>
  <c r="O212" i="2"/>
  <c r="P212" i="2"/>
  <c r="Q212" i="2"/>
  <c r="R212" i="2"/>
  <c r="S212" i="2"/>
  <c r="T212" i="2"/>
  <c r="U212" i="2"/>
  <c r="W212" i="2"/>
  <c r="X212" i="2"/>
  <c r="Z212" i="2"/>
  <c r="AA212" i="2"/>
  <c r="AB212" i="2"/>
  <c r="AC212" i="2"/>
  <c r="AD212" i="2"/>
  <c r="AE212" i="2"/>
  <c r="AF212" i="2"/>
  <c r="AH212" i="2"/>
  <c r="O213" i="2"/>
  <c r="P213" i="2"/>
  <c r="Q213" i="2"/>
  <c r="R213" i="2"/>
  <c r="S213" i="2"/>
  <c r="T213" i="2"/>
  <c r="U213" i="2"/>
  <c r="W213" i="2"/>
  <c r="X213" i="2"/>
  <c r="Z213" i="2"/>
  <c r="AA213" i="2"/>
  <c r="AB213" i="2"/>
  <c r="AC213" i="2"/>
  <c r="AD213" i="2"/>
  <c r="AE213" i="2"/>
  <c r="AF213" i="2"/>
  <c r="AH213" i="2"/>
  <c r="O214" i="2"/>
  <c r="P214" i="2"/>
  <c r="Q214" i="2"/>
  <c r="R214" i="2"/>
  <c r="S214" i="2"/>
  <c r="T214" i="2"/>
  <c r="U214" i="2"/>
  <c r="W214" i="2"/>
  <c r="X214" i="2"/>
  <c r="Z214" i="2"/>
  <c r="AA214" i="2"/>
  <c r="AB214" i="2"/>
  <c r="AC214" i="2"/>
  <c r="AD214" i="2"/>
  <c r="AE214" i="2"/>
  <c r="AF214" i="2"/>
  <c r="AH214" i="2"/>
  <c r="O215" i="2"/>
  <c r="P215" i="2"/>
  <c r="Q215" i="2"/>
  <c r="R215" i="2"/>
  <c r="S215" i="2"/>
  <c r="T215" i="2"/>
  <c r="U215" i="2"/>
  <c r="W215" i="2"/>
  <c r="X215" i="2"/>
  <c r="Z215" i="2"/>
  <c r="AA215" i="2"/>
  <c r="AB215" i="2"/>
  <c r="AC215" i="2"/>
  <c r="AD215" i="2"/>
  <c r="AE215" i="2"/>
  <c r="AF215" i="2"/>
  <c r="AH215" i="2"/>
  <c r="O216" i="2"/>
  <c r="P216" i="2"/>
  <c r="Q216" i="2"/>
  <c r="R216" i="2"/>
  <c r="S216" i="2"/>
  <c r="T216" i="2"/>
  <c r="U216" i="2"/>
  <c r="W216" i="2"/>
  <c r="X216" i="2"/>
  <c r="Z216" i="2"/>
  <c r="AA216" i="2"/>
  <c r="AB216" i="2"/>
  <c r="AC216" i="2"/>
  <c r="AD216" i="2"/>
  <c r="AE216" i="2"/>
  <c r="AF216" i="2"/>
  <c r="AH216" i="2"/>
  <c r="O217" i="2"/>
  <c r="P217" i="2"/>
  <c r="Q217" i="2"/>
  <c r="R217" i="2"/>
  <c r="S217" i="2"/>
  <c r="T217" i="2"/>
  <c r="U217" i="2"/>
  <c r="W217" i="2"/>
  <c r="X217" i="2"/>
  <c r="Z217" i="2"/>
  <c r="AA217" i="2"/>
  <c r="AB217" i="2"/>
  <c r="AC217" i="2"/>
  <c r="AD217" i="2"/>
  <c r="AE217" i="2"/>
  <c r="AF217" i="2"/>
  <c r="AH217" i="2"/>
  <c r="O218" i="2"/>
  <c r="P218" i="2"/>
  <c r="Q218" i="2"/>
  <c r="R218" i="2"/>
  <c r="S218" i="2"/>
  <c r="T218" i="2"/>
  <c r="U218" i="2"/>
  <c r="W218" i="2"/>
  <c r="X218" i="2"/>
  <c r="Z218" i="2"/>
  <c r="AA218" i="2"/>
  <c r="AB218" i="2"/>
  <c r="AC218" i="2"/>
  <c r="AD218" i="2"/>
  <c r="AE218" i="2"/>
  <c r="AF218" i="2"/>
  <c r="AH218" i="2"/>
  <c r="O219" i="2"/>
  <c r="P219" i="2"/>
  <c r="Q219" i="2"/>
  <c r="R219" i="2"/>
  <c r="S219" i="2"/>
  <c r="T219" i="2"/>
  <c r="U219" i="2"/>
  <c r="W219" i="2"/>
  <c r="X219" i="2"/>
  <c r="Z219" i="2"/>
  <c r="AA219" i="2"/>
  <c r="AB219" i="2"/>
  <c r="AC219" i="2"/>
  <c r="AD219" i="2"/>
  <c r="AE219" i="2"/>
  <c r="AF219" i="2"/>
  <c r="AH219" i="2"/>
  <c r="O220" i="2"/>
  <c r="P220" i="2"/>
  <c r="Q220" i="2"/>
  <c r="R220" i="2"/>
  <c r="S220" i="2"/>
  <c r="T220" i="2"/>
  <c r="U220" i="2"/>
  <c r="W220" i="2"/>
  <c r="X220" i="2"/>
  <c r="Z220" i="2"/>
  <c r="AA220" i="2"/>
  <c r="AB220" i="2"/>
  <c r="AC220" i="2"/>
  <c r="AD220" i="2"/>
  <c r="AE220" i="2"/>
  <c r="AF220" i="2"/>
  <c r="AH220" i="2"/>
  <c r="T221" i="2"/>
  <c r="U221" i="2"/>
  <c r="X221" i="2"/>
  <c r="AF221" i="2"/>
  <c r="O222" i="2"/>
  <c r="P222" i="2"/>
  <c r="Q222" i="2"/>
  <c r="R222" i="2"/>
  <c r="S222" i="2"/>
  <c r="T222" i="2"/>
  <c r="U222" i="2"/>
  <c r="W222" i="2"/>
  <c r="X222" i="2"/>
  <c r="Z222" i="2"/>
  <c r="AA222" i="2"/>
  <c r="AB222" i="2"/>
  <c r="AC222" i="2"/>
  <c r="AD222" i="2"/>
  <c r="AE222" i="2"/>
  <c r="AF222" i="2"/>
  <c r="AH222" i="2"/>
  <c r="O223" i="2"/>
  <c r="P223" i="2"/>
  <c r="Q223" i="2"/>
  <c r="R223" i="2"/>
  <c r="S223" i="2"/>
  <c r="T223" i="2"/>
  <c r="U223" i="2"/>
  <c r="W223" i="2"/>
  <c r="X223" i="2"/>
  <c r="Z223" i="2"/>
  <c r="AA223" i="2"/>
  <c r="AB223" i="2"/>
  <c r="AC223" i="2"/>
  <c r="AD223" i="2"/>
  <c r="AE223" i="2"/>
  <c r="AF223" i="2"/>
  <c r="AH223" i="2"/>
  <c r="O224" i="2"/>
  <c r="P224" i="2"/>
  <c r="Q224" i="2"/>
  <c r="R224" i="2"/>
  <c r="S224" i="2"/>
  <c r="T224" i="2"/>
  <c r="U224" i="2"/>
  <c r="W224" i="2"/>
  <c r="X224" i="2"/>
  <c r="Z224" i="2"/>
  <c r="AA224" i="2"/>
  <c r="AB224" i="2"/>
  <c r="AC224" i="2"/>
  <c r="AD224" i="2"/>
  <c r="AE224" i="2"/>
  <c r="AF224" i="2"/>
  <c r="AH224" i="2"/>
  <c r="O225" i="2"/>
  <c r="P225" i="2"/>
  <c r="Q225" i="2"/>
  <c r="R225" i="2"/>
  <c r="S225" i="2"/>
  <c r="T225" i="2"/>
  <c r="U225" i="2"/>
  <c r="W225" i="2"/>
  <c r="X225" i="2"/>
  <c r="Z225" i="2"/>
  <c r="AA225" i="2"/>
  <c r="AB225" i="2"/>
  <c r="AC225" i="2"/>
  <c r="AD225" i="2"/>
  <c r="AE225" i="2"/>
  <c r="AF225" i="2"/>
  <c r="AH225" i="2"/>
  <c r="O226" i="2"/>
  <c r="P226" i="2"/>
  <c r="Q226" i="2"/>
  <c r="R226" i="2"/>
  <c r="S226" i="2"/>
  <c r="T226" i="2"/>
  <c r="U226" i="2"/>
  <c r="W226" i="2"/>
  <c r="X226" i="2"/>
  <c r="Z226" i="2"/>
  <c r="AA226" i="2"/>
  <c r="AB226" i="2"/>
  <c r="AC226" i="2"/>
  <c r="AD226" i="2"/>
  <c r="AE226" i="2"/>
  <c r="AF226" i="2"/>
  <c r="AH226" i="2"/>
  <c r="O227" i="2"/>
  <c r="P227" i="2"/>
  <c r="Q227" i="2"/>
  <c r="R227" i="2"/>
  <c r="S227" i="2"/>
  <c r="T227" i="2"/>
  <c r="U227" i="2"/>
  <c r="W227" i="2"/>
  <c r="X227" i="2"/>
  <c r="Z227" i="2"/>
  <c r="AA227" i="2"/>
  <c r="AB227" i="2"/>
  <c r="AC227" i="2"/>
  <c r="AD227" i="2"/>
  <c r="AE227" i="2"/>
  <c r="AF227" i="2"/>
  <c r="AH227" i="2"/>
  <c r="O228" i="2"/>
  <c r="P228" i="2"/>
  <c r="Q228" i="2"/>
  <c r="R228" i="2"/>
  <c r="S228" i="2"/>
  <c r="T228" i="2"/>
  <c r="U228" i="2"/>
  <c r="W228" i="2"/>
  <c r="X228" i="2"/>
  <c r="Z228" i="2"/>
  <c r="AA228" i="2"/>
  <c r="AB228" i="2"/>
  <c r="AC228" i="2"/>
  <c r="AD228" i="2"/>
  <c r="AE228" i="2"/>
  <c r="AF228" i="2"/>
  <c r="AH228" i="2"/>
  <c r="O229" i="2"/>
  <c r="P229" i="2"/>
  <c r="Q229" i="2"/>
  <c r="R229" i="2"/>
  <c r="S229" i="2"/>
  <c r="T229" i="2"/>
  <c r="U229" i="2"/>
  <c r="W229" i="2"/>
  <c r="X229" i="2"/>
  <c r="Z229" i="2"/>
  <c r="AA229" i="2"/>
  <c r="AB229" i="2"/>
  <c r="AC229" i="2"/>
  <c r="AD229" i="2"/>
  <c r="AE229" i="2"/>
  <c r="AF229" i="2"/>
  <c r="AH229" i="2"/>
  <c r="O230" i="2"/>
  <c r="P230" i="2"/>
  <c r="Q230" i="2"/>
  <c r="R230" i="2"/>
  <c r="S230" i="2"/>
  <c r="T230" i="2"/>
  <c r="U230" i="2"/>
  <c r="W230" i="2"/>
  <c r="X230" i="2"/>
  <c r="Z230" i="2"/>
  <c r="AA230" i="2"/>
  <c r="AB230" i="2"/>
  <c r="AC230" i="2"/>
  <c r="AD230" i="2"/>
  <c r="AE230" i="2"/>
  <c r="AF230" i="2"/>
  <c r="AH230" i="2"/>
  <c r="O231" i="2"/>
  <c r="P231" i="2"/>
  <c r="Q231" i="2"/>
  <c r="R231" i="2"/>
  <c r="S231" i="2"/>
  <c r="T231" i="2"/>
  <c r="U231" i="2"/>
  <c r="W231" i="2"/>
  <c r="X231" i="2"/>
  <c r="Z231" i="2"/>
  <c r="AA231" i="2"/>
  <c r="AB231" i="2"/>
  <c r="AC231" i="2"/>
  <c r="AD231" i="2"/>
  <c r="AE231" i="2"/>
  <c r="AF231" i="2"/>
  <c r="AH231" i="2"/>
  <c r="O232" i="2"/>
  <c r="P232" i="2"/>
  <c r="Q232" i="2"/>
  <c r="R232" i="2"/>
  <c r="S232" i="2"/>
  <c r="T232" i="2"/>
  <c r="U232" i="2"/>
  <c r="W232" i="2"/>
  <c r="X232" i="2"/>
  <c r="Z232" i="2"/>
  <c r="AA232" i="2"/>
  <c r="AB232" i="2"/>
  <c r="AC232" i="2"/>
  <c r="AD232" i="2"/>
  <c r="AE232" i="2"/>
  <c r="AF232" i="2"/>
  <c r="AH232" i="2"/>
  <c r="O233" i="2"/>
  <c r="P233" i="2"/>
  <c r="Q233" i="2"/>
  <c r="R233" i="2"/>
  <c r="S233" i="2"/>
  <c r="T233" i="2"/>
  <c r="U233" i="2"/>
  <c r="W233" i="2"/>
  <c r="X233" i="2"/>
  <c r="Z233" i="2"/>
  <c r="AA233" i="2"/>
  <c r="AB233" i="2"/>
  <c r="AC233" i="2"/>
  <c r="AD233" i="2"/>
  <c r="AE233" i="2"/>
  <c r="AF233" i="2"/>
  <c r="AH233" i="2"/>
  <c r="O234" i="2"/>
  <c r="P234" i="2"/>
  <c r="Q234" i="2"/>
  <c r="R234" i="2"/>
  <c r="S234" i="2"/>
  <c r="T234" i="2"/>
  <c r="U234" i="2"/>
  <c r="W234" i="2"/>
  <c r="X234" i="2"/>
  <c r="Z234" i="2"/>
  <c r="AA234" i="2"/>
  <c r="AB234" i="2"/>
  <c r="AC234" i="2"/>
  <c r="AD234" i="2"/>
  <c r="AE234" i="2"/>
  <c r="AF234" i="2"/>
  <c r="AH234" i="2"/>
  <c r="O235" i="2"/>
  <c r="P235" i="2"/>
  <c r="Q235" i="2"/>
  <c r="R235" i="2"/>
  <c r="S235" i="2"/>
  <c r="T235" i="2"/>
  <c r="U235" i="2"/>
  <c r="W235" i="2"/>
  <c r="X235" i="2"/>
  <c r="Z235" i="2"/>
  <c r="AA235" i="2"/>
  <c r="AB235" i="2"/>
  <c r="AC235" i="2"/>
  <c r="AD235" i="2"/>
  <c r="AE235" i="2"/>
  <c r="AF235" i="2"/>
  <c r="AH235" i="2"/>
  <c r="O236" i="2"/>
  <c r="P236" i="2"/>
  <c r="Q236" i="2"/>
  <c r="R236" i="2"/>
  <c r="S236" i="2"/>
  <c r="T236" i="2"/>
  <c r="U236" i="2"/>
  <c r="W236" i="2"/>
  <c r="X236" i="2"/>
  <c r="Z236" i="2"/>
  <c r="AA236" i="2"/>
  <c r="AB236" i="2"/>
  <c r="AC236" i="2"/>
  <c r="AD236" i="2"/>
  <c r="AE236" i="2"/>
  <c r="AF236" i="2"/>
  <c r="AH236" i="2"/>
  <c r="O237" i="2"/>
  <c r="P237" i="2"/>
  <c r="Q237" i="2"/>
  <c r="R237" i="2"/>
  <c r="S237" i="2"/>
  <c r="T237" i="2"/>
  <c r="U237" i="2"/>
  <c r="W237" i="2"/>
  <c r="X237" i="2"/>
  <c r="Z237" i="2"/>
  <c r="AA237" i="2"/>
  <c r="AB237" i="2"/>
  <c r="AC237" i="2"/>
  <c r="AD237" i="2"/>
  <c r="AE237" i="2"/>
  <c r="AF237" i="2"/>
  <c r="AH237" i="2"/>
  <c r="O238" i="2"/>
  <c r="P238" i="2"/>
  <c r="Q238" i="2"/>
  <c r="R238" i="2"/>
  <c r="S238" i="2"/>
  <c r="T238" i="2"/>
  <c r="U238" i="2"/>
  <c r="W238" i="2"/>
  <c r="X238" i="2"/>
  <c r="Z238" i="2"/>
  <c r="AA238" i="2"/>
  <c r="AB238" i="2"/>
  <c r="AC238" i="2"/>
  <c r="AD238" i="2"/>
  <c r="AE238" i="2"/>
  <c r="AF238" i="2"/>
  <c r="AH238" i="2"/>
  <c r="O239" i="2"/>
  <c r="P239" i="2"/>
  <c r="Q239" i="2"/>
  <c r="R239" i="2"/>
  <c r="S239" i="2"/>
  <c r="T239" i="2"/>
  <c r="U239" i="2"/>
  <c r="W239" i="2"/>
  <c r="X239" i="2"/>
  <c r="Z239" i="2"/>
  <c r="AA239" i="2"/>
  <c r="AB239" i="2"/>
  <c r="AC239" i="2"/>
  <c r="AD239" i="2"/>
  <c r="AE239" i="2"/>
  <c r="AF239" i="2"/>
  <c r="AH239" i="2"/>
  <c r="O240" i="2"/>
  <c r="P240" i="2"/>
  <c r="Q240" i="2"/>
  <c r="R240" i="2"/>
  <c r="S240" i="2"/>
  <c r="T240" i="2"/>
  <c r="U240" i="2"/>
  <c r="W240" i="2"/>
  <c r="X240" i="2"/>
  <c r="Z240" i="2"/>
  <c r="AA240" i="2"/>
  <c r="AB240" i="2"/>
  <c r="AC240" i="2"/>
  <c r="AD240" i="2"/>
  <c r="AE240" i="2"/>
  <c r="AF240" i="2"/>
  <c r="AH240" i="2"/>
  <c r="O241" i="2"/>
  <c r="P241" i="2"/>
  <c r="Q241" i="2"/>
  <c r="R241" i="2"/>
  <c r="S241" i="2"/>
  <c r="T241" i="2"/>
  <c r="U241" i="2"/>
  <c r="W241" i="2"/>
  <c r="X241" i="2"/>
  <c r="Z241" i="2"/>
  <c r="AA241" i="2"/>
  <c r="AB241" i="2"/>
  <c r="AC241" i="2"/>
  <c r="AD241" i="2"/>
  <c r="AE241" i="2"/>
  <c r="AF241" i="2"/>
  <c r="AH241" i="2"/>
  <c r="O242" i="2"/>
  <c r="P242" i="2"/>
  <c r="Q242" i="2"/>
  <c r="R242" i="2"/>
  <c r="S242" i="2"/>
  <c r="T242" i="2"/>
  <c r="U242" i="2"/>
  <c r="W242" i="2"/>
  <c r="X242" i="2"/>
  <c r="Z242" i="2"/>
  <c r="AA242" i="2"/>
  <c r="AB242" i="2"/>
  <c r="AC242" i="2"/>
  <c r="AD242" i="2"/>
  <c r="AE242" i="2"/>
  <c r="AF242" i="2"/>
  <c r="AH242" i="2"/>
  <c r="O243" i="2"/>
  <c r="P243" i="2"/>
  <c r="Q243" i="2"/>
  <c r="R243" i="2"/>
  <c r="S243" i="2"/>
  <c r="T243" i="2"/>
  <c r="U243" i="2"/>
  <c r="W243" i="2"/>
  <c r="X243" i="2"/>
  <c r="Z243" i="2"/>
  <c r="AA243" i="2"/>
  <c r="AB243" i="2"/>
  <c r="AC243" i="2"/>
  <c r="AD243" i="2"/>
  <c r="AE243" i="2"/>
  <c r="AF243" i="2"/>
  <c r="AH243" i="2"/>
  <c r="O244" i="2"/>
  <c r="P244" i="2"/>
  <c r="Q244" i="2"/>
  <c r="R244" i="2"/>
  <c r="S244" i="2"/>
  <c r="T244" i="2"/>
  <c r="U244" i="2"/>
  <c r="W244" i="2"/>
  <c r="X244" i="2"/>
  <c r="Z244" i="2"/>
  <c r="AA244" i="2"/>
  <c r="AB244" i="2"/>
  <c r="AC244" i="2"/>
  <c r="AD244" i="2"/>
  <c r="AE244" i="2"/>
  <c r="AF244" i="2"/>
  <c r="AH244" i="2"/>
  <c r="O245" i="2"/>
  <c r="P245" i="2"/>
  <c r="Q245" i="2"/>
  <c r="R245" i="2"/>
  <c r="S245" i="2"/>
  <c r="T245" i="2"/>
  <c r="U245" i="2"/>
  <c r="W245" i="2"/>
  <c r="X245" i="2"/>
  <c r="Z245" i="2"/>
  <c r="AA245" i="2"/>
  <c r="AB245" i="2"/>
  <c r="AC245" i="2"/>
  <c r="AD245" i="2"/>
  <c r="AE245" i="2"/>
  <c r="AF245" i="2"/>
  <c r="AH245" i="2"/>
  <c r="O246" i="2"/>
  <c r="P246" i="2"/>
  <c r="Q246" i="2"/>
  <c r="R246" i="2"/>
  <c r="S246" i="2"/>
  <c r="T246" i="2"/>
  <c r="U246" i="2"/>
  <c r="W246" i="2"/>
  <c r="X246" i="2"/>
  <c r="Z246" i="2"/>
  <c r="AA246" i="2"/>
  <c r="AB246" i="2"/>
  <c r="AC246" i="2"/>
  <c r="AD246" i="2"/>
  <c r="AE246" i="2"/>
  <c r="AF246" i="2"/>
  <c r="AH246" i="2"/>
  <c r="O247" i="2"/>
  <c r="P247" i="2"/>
  <c r="Q247" i="2"/>
  <c r="R247" i="2"/>
  <c r="S247" i="2"/>
  <c r="T247" i="2"/>
  <c r="U247" i="2"/>
  <c r="W247" i="2"/>
  <c r="X247" i="2"/>
  <c r="Z247" i="2"/>
  <c r="AA247" i="2"/>
  <c r="AB247" i="2"/>
  <c r="AC247" i="2"/>
  <c r="AD247" i="2"/>
  <c r="AE247" i="2"/>
  <c r="AF247" i="2"/>
  <c r="AH247" i="2"/>
  <c r="P248" i="2"/>
  <c r="Q248" i="2"/>
  <c r="U248" i="2"/>
  <c r="W248" i="2"/>
  <c r="X248" i="2"/>
  <c r="Z248" i="2"/>
  <c r="AB248" i="2"/>
  <c r="AD248" i="2"/>
  <c r="AE248" i="2"/>
  <c r="AF248" i="2"/>
  <c r="O249" i="2"/>
  <c r="P249" i="2"/>
  <c r="Q249" i="2"/>
  <c r="R249" i="2"/>
  <c r="S249" i="2"/>
  <c r="T249" i="2"/>
  <c r="U249" i="2"/>
  <c r="W249" i="2"/>
  <c r="X249" i="2"/>
  <c r="Z249" i="2"/>
  <c r="AA249" i="2"/>
  <c r="AB249" i="2"/>
  <c r="AC249" i="2"/>
  <c r="AD249" i="2"/>
  <c r="AE249" i="2"/>
  <c r="AF249" i="2"/>
  <c r="AH249" i="2"/>
  <c r="O250" i="2"/>
  <c r="P250" i="2"/>
  <c r="Q250" i="2"/>
  <c r="R250" i="2"/>
  <c r="S250" i="2"/>
  <c r="T250" i="2"/>
  <c r="U250" i="2"/>
  <c r="W250" i="2"/>
  <c r="X250" i="2"/>
  <c r="Z250" i="2"/>
  <c r="AA250" i="2"/>
  <c r="AB250" i="2"/>
  <c r="AC250" i="2"/>
  <c r="AD250" i="2"/>
  <c r="AE250" i="2"/>
  <c r="AF250" i="2"/>
  <c r="AH250" i="2"/>
  <c r="O251" i="2"/>
  <c r="P251" i="2"/>
  <c r="Q251" i="2"/>
  <c r="R251" i="2"/>
  <c r="S251" i="2"/>
  <c r="T251" i="2"/>
  <c r="U251" i="2"/>
  <c r="W251" i="2"/>
  <c r="X251" i="2"/>
  <c r="Z251" i="2"/>
  <c r="AA251" i="2"/>
  <c r="AB251" i="2"/>
  <c r="AC251" i="2"/>
  <c r="AD251" i="2"/>
  <c r="AE251" i="2"/>
  <c r="AF251" i="2"/>
  <c r="AH251" i="2"/>
  <c r="O252" i="2"/>
  <c r="P252" i="2"/>
  <c r="Q252" i="2"/>
  <c r="R252" i="2"/>
  <c r="S252" i="2"/>
  <c r="T252" i="2"/>
  <c r="U252" i="2"/>
  <c r="W252" i="2"/>
  <c r="X252" i="2"/>
  <c r="Z252" i="2"/>
  <c r="AA252" i="2"/>
  <c r="AB252" i="2"/>
  <c r="AC252" i="2"/>
  <c r="AD252" i="2"/>
  <c r="AE252" i="2"/>
  <c r="AF252" i="2"/>
  <c r="AH252" i="2"/>
  <c r="O253" i="2"/>
  <c r="P253" i="2"/>
  <c r="Q253" i="2"/>
  <c r="R253" i="2"/>
  <c r="S253" i="2"/>
  <c r="T253" i="2"/>
  <c r="U253" i="2"/>
  <c r="W253" i="2"/>
  <c r="X253" i="2"/>
  <c r="Z253" i="2"/>
  <c r="AA253" i="2"/>
  <c r="AB253" i="2"/>
  <c r="AC253" i="2"/>
  <c r="AD253" i="2"/>
  <c r="AE253" i="2"/>
  <c r="AF253" i="2"/>
  <c r="AH253" i="2"/>
  <c r="O254" i="2"/>
  <c r="P254" i="2"/>
  <c r="Q254" i="2"/>
  <c r="R254" i="2"/>
  <c r="S254" i="2"/>
  <c r="T254" i="2"/>
  <c r="U254" i="2"/>
  <c r="W254" i="2"/>
  <c r="X254" i="2"/>
  <c r="Z254" i="2"/>
  <c r="AA254" i="2"/>
  <c r="AB254" i="2"/>
  <c r="AC254" i="2"/>
  <c r="AD254" i="2"/>
  <c r="AE254" i="2"/>
  <c r="AF254" i="2"/>
  <c r="AH254" i="2"/>
  <c r="O255" i="2"/>
  <c r="P255" i="2"/>
  <c r="Q255" i="2"/>
  <c r="R255" i="2"/>
  <c r="S255" i="2"/>
  <c r="T255" i="2"/>
  <c r="U255" i="2"/>
  <c r="W255" i="2"/>
  <c r="X255" i="2"/>
  <c r="Z255" i="2"/>
  <c r="AA255" i="2"/>
  <c r="AB255" i="2"/>
  <c r="AC255" i="2"/>
  <c r="AD255" i="2"/>
  <c r="AE255" i="2"/>
  <c r="AF255" i="2"/>
  <c r="AH255" i="2"/>
  <c r="O256" i="2"/>
  <c r="P256" i="2"/>
  <c r="Q256" i="2"/>
  <c r="R256" i="2"/>
  <c r="S256" i="2"/>
  <c r="T256" i="2"/>
  <c r="U256" i="2"/>
  <c r="W256" i="2"/>
  <c r="X256" i="2"/>
  <c r="Z256" i="2"/>
  <c r="AA256" i="2"/>
  <c r="AB256" i="2"/>
  <c r="AC256" i="2"/>
  <c r="AD256" i="2"/>
  <c r="AE256" i="2"/>
  <c r="AF256" i="2"/>
  <c r="AH256" i="2"/>
  <c r="O257" i="2"/>
  <c r="P257" i="2"/>
  <c r="Q257" i="2"/>
  <c r="R257" i="2"/>
  <c r="S257" i="2"/>
  <c r="T257" i="2"/>
  <c r="U257" i="2"/>
  <c r="W257" i="2"/>
  <c r="X257" i="2"/>
  <c r="Z257" i="2"/>
  <c r="AA257" i="2"/>
  <c r="AB257" i="2"/>
  <c r="AC257" i="2"/>
  <c r="AD257" i="2"/>
  <c r="AE257" i="2"/>
  <c r="AF257" i="2"/>
  <c r="AH257" i="2"/>
  <c r="O258" i="2"/>
  <c r="P258" i="2"/>
  <c r="Q258" i="2"/>
  <c r="R258" i="2"/>
  <c r="S258" i="2"/>
  <c r="T258" i="2"/>
  <c r="U258" i="2"/>
  <c r="W258" i="2"/>
  <c r="X258" i="2"/>
  <c r="Z258" i="2"/>
  <c r="AA258" i="2"/>
  <c r="AB258" i="2"/>
  <c r="AC258" i="2"/>
  <c r="AD258" i="2"/>
  <c r="AE258" i="2"/>
  <c r="AF258" i="2"/>
  <c r="AH258" i="2"/>
  <c r="O259" i="2"/>
  <c r="P259" i="2"/>
  <c r="Q259" i="2"/>
  <c r="R259" i="2"/>
  <c r="S259" i="2"/>
  <c r="T259" i="2"/>
  <c r="U259" i="2"/>
  <c r="W259" i="2"/>
  <c r="X259" i="2"/>
  <c r="Z259" i="2"/>
  <c r="AA259" i="2"/>
  <c r="AB259" i="2"/>
  <c r="AC259" i="2"/>
  <c r="AD259" i="2"/>
  <c r="AE259" i="2"/>
  <c r="AF259" i="2"/>
  <c r="AH259" i="2"/>
  <c r="O260" i="2"/>
  <c r="P260" i="2"/>
  <c r="Q260" i="2"/>
  <c r="R260" i="2"/>
  <c r="S260" i="2"/>
  <c r="T260" i="2"/>
  <c r="U260" i="2"/>
  <c r="W260" i="2"/>
  <c r="X260" i="2"/>
  <c r="Z260" i="2"/>
  <c r="AA260" i="2"/>
  <c r="AB260" i="2"/>
  <c r="AC260" i="2"/>
  <c r="AD260" i="2"/>
  <c r="AE260" i="2"/>
  <c r="AF260" i="2"/>
  <c r="AH260" i="2"/>
  <c r="O261" i="2"/>
  <c r="P261" i="2"/>
  <c r="Q261" i="2"/>
  <c r="R261" i="2"/>
  <c r="S261" i="2"/>
  <c r="T261" i="2"/>
  <c r="U261" i="2"/>
  <c r="W261" i="2"/>
  <c r="X261" i="2"/>
  <c r="Z261" i="2"/>
  <c r="AA261" i="2"/>
  <c r="AB261" i="2"/>
  <c r="AC261" i="2"/>
  <c r="AD261" i="2"/>
  <c r="AE261" i="2"/>
  <c r="AF261" i="2"/>
  <c r="AH261" i="2"/>
  <c r="O262" i="2"/>
  <c r="P262" i="2"/>
  <c r="Q262" i="2"/>
  <c r="R262" i="2"/>
  <c r="S262" i="2"/>
  <c r="T262" i="2"/>
  <c r="U262" i="2"/>
  <c r="W262" i="2"/>
  <c r="X262" i="2"/>
  <c r="Z262" i="2"/>
  <c r="AA262" i="2"/>
  <c r="AB262" i="2"/>
  <c r="AC262" i="2"/>
  <c r="AD262" i="2"/>
  <c r="AE262" i="2"/>
  <c r="AF262" i="2"/>
  <c r="AH262" i="2"/>
  <c r="O263" i="2"/>
  <c r="P263" i="2"/>
  <c r="Q263" i="2"/>
  <c r="R263" i="2"/>
  <c r="S263" i="2"/>
  <c r="T263" i="2"/>
  <c r="U263" i="2"/>
  <c r="W263" i="2"/>
  <c r="X263" i="2"/>
  <c r="Z263" i="2"/>
  <c r="AA263" i="2"/>
  <c r="AB263" i="2"/>
  <c r="AC263" i="2"/>
  <c r="AD263" i="2"/>
  <c r="AE263" i="2"/>
  <c r="AF263" i="2"/>
  <c r="AH263" i="2"/>
  <c r="O264" i="2"/>
  <c r="P264" i="2"/>
  <c r="Q264" i="2"/>
  <c r="R264" i="2"/>
  <c r="S264" i="2"/>
  <c r="T264" i="2"/>
  <c r="U264" i="2"/>
  <c r="W264" i="2"/>
  <c r="X264" i="2"/>
  <c r="Z264" i="2"/>
  <c r="AA264" i="2"/>
  <c r="AB264" i="2"/>
  <c r="AC264" i="2"/>
  <c r="AD264" i="2"/>
  <c r="AE264" i="2"/>
  <c r="AF264" i="2"/>
  <c r="AH264" i="2"/>
  <c r="O265" i="2"/>
  <c r="P265" i="2"/>
  <c r="Q265" i="2"/>
  <c r="R265" i="2"/>
  <c r="S265" i="2"/>
  <c r="T265" i="2"/>
  <c r="U265" i="2"/>
  <c r="W265" i="2"/>
  <c r="X265" i="2"/>
  <c r="Z265" i="2"/>
  <c r="AA265" i="2"/>
  <c r="AB265" i="2"/>
  <c r="AC265" i="2"/>
  <c r="AD265" i="2"/>
  <c r="AE265" i="2"/>
  <c r="AF265" i="2"/>
  <c r="AH265" i="2"/>
  <c r="O266" i="2"/>
  <c r="P266" i="2"/>
  <c r="Q266" i="2"/>
  <c r="R266" i="2"/>
  <c r="S266" i="2"/>
  <c r="T266" i="2"/>
  <c r="U266" i="2"/>
  <c r="W266" i="2"/>
  <c r="X266" i="2"/>
  <c r="Z266" i="2"/>
  <c r="AA266" i="2"/>
  <c r="AB266" i="2"/>
  <c r="AC266" i="2"/>
  <c r="AD266" i="2"/>
  <c r="AE266" i="2"/>
  <c r="AF266" i="2"/>
  <c r="AH266" i="2"/>
  <c r="O267" i="2"/>
  <c r="P267" i="2"/>
  <c r="Q267" i="2"/>
  <c r="R267" i="2"/>
  <c r="S267" i="2"/>
  <c r="T267" i="2"/>
  <c r="U267" i="2"/>
  <c r="W267" i="2"/>
  <c r="X267" i="2"/>
  <c r="Z267" i="2"/>
  <c r="AA267" i="2"/>
  <c r="AB267" i="2"/>
  <c r="AC267" i="2"/>
  <c r="AD267" i="2"/>
  <c r="AE267" i="2"/>
  <c r="AF267" i="2"/>
  <c r="AH267" i="2"/>
  <c r="O268" i="2"/>
  <c r="P268" i="2"/>
  <c r="Q268" i="2"/>
  <c r="R268" i="2"/>
  <c r="S268" i="2"/>
  <c r="T268" i="2"/>
  <c r="U268" i="2"/>
  <c r="W268" i="2"/>
  <c r="X268" i="2"/>
  <c r="Z268" i="2"/>
  <c r="AA268" i="2"/>
  <c r="AB268" i="2"/>
  <c r="AC268" i="2"/>
  <c r="AD268" i="2"/>
  <c r="AE268" i="2"/>
  <c r="AF268" i="2"/>
  <c r="AH268" i="2"/>
  <c r="O269" i="2"/>
  <c r="P269" i="2"/>
  <c r="Q269" i="2"/>
  <c r="R269" i="2"/>
  <c r="S269" i="2"/>
  <c r="T269" i="2"/>
  <c r="U269" i="2"/>
  <c r="W269" i="2"/>
  <c r="X269" i="2"/>
  <c r="Z269" i="2"/>
  <c r="AA269" i="2"/>
  <c r="AB269" i="2"/>
  <c r="AC269" i="2"/>
  <c r="AD269" i="2"/>
  <c r="AE269" i="2"/>
  <c r="AF269" i="2"/>
  <c r="AH269" i="2"/>
  <c r="O270" i="2"/>
  <c r="P270" i="2"/>
  <c r="Q270" i="2"/>
  <c r="R270" i="2"/>
  <c r="S270" i="2"/>
  <c r="T270" i="2"/>
  <c r="U270" i="2"/>
  <c r="W270" i="2"/>
  <c r="X270" i="2"/>
  <c r="Z270" i="2"/>
  <c r="AA270" i="2"/>
  <c r="AB270" i="2"/>
  <c r="AC270" i="2"/>
  <c r="AD270" i="2"/>
  <c r="AE270" i="2"/>
  <c r="AF270" i="2"/>
  <c r="AH270" i="2"/>
  <c r="O271" i="2"/>
  <c r="P271" i="2"/>
  <c r="Q271" i="2"/>
  <c r="R271" i="2"/>
  <c r="S271" i="2"/>
  <c r="T271" i="2"/>
  <c r="U271" i="2"/>
  <c r="W271" i="2"/>
  <c r="X271" i="2"/>
  <c r="Z271" i="2"/>
  <c r="AA271" i="2"/>
  <c r="AB271" i="2"/>
  <c r="AC271" i="2"/>
  <c r="AD271" i="2"/>
  <c r="AE271" i="2"/>
  <c r="AF271" i="2"/>
  <c r="AH271" i="2"/>
  <c r="O272" i="2"/>
  <c r="P272" i="2"/>
  <c r="Q272" i="2"/>
  <c r="R272" i="2"/>
  <c r="S272" i="2"/>
  <c r="T272" i="2"/>
  <c r="U272" i="2"/>
  <c r="W272" i="2"/>
  <c r="X272" i="2"/>
  <c r="Z272" i="2"/>
  <c r="AA272" i="2"/>
  <c r="AB272" i="2"/>
  <c r="AC272" i="2"/>
  <c r="AD272" i="2"/>
  <c r="AE272" i="2"/>
  <c r="AF272" i="2"/>
  <c r="AH272" i="2"/>
  <c r="AC248" i="2" l="1"/>
  <c r="O248" i="2"/>
  <c r="Z221" i="2"/>
  <c r="AA178" i="2"/>
  <c r="AA248" i="2"/>
  <c r="W221" i="2"/>
  <c r="X178" i="2"/>
  <c r="AH221" i="2"/>
  <c r="S221" i="2"/>
  <c r="T178" i="2"/>
  <c r="R221" i="2"/>
  <c r="AH178" i="2"/>
  <c r="S178" i="2"/>
  <c r="T248" i="2"/>
  <c r="AE221" i="2"/>
  <c r="Q221" i="2"/>
  <c r="R178" i="2"/>
  <c r="AH248" i="2"/>
  <c r="S248" i="2"/>
  <c r="AD221" i="2"/>
  <c r="P221" i="2"/>
  <c r="AE178" i="2"/>
  <c r="Q178" i="2"/>
  <c r="AC221" i="2"/>
  <c r="O221" i="2"/>
  <c r="AD178" i="2"/>
  <c r="P178" i="2"/>
  <c r="AB221" i="2"/>
  <c r="AC178" i="2"/>
  <c r="O178" i="2"/>
  <c r="AA221" i="2"/>
  <c r="AB178" i="2"/>
  <c r="N12" i="2" l="1"/>
  <c r="O12" i="2"/>
  <c r="P12" i="2"/>
  <c r="Q12" i="2"/>
  <c r="R12" i="2"/>
  <c r="S12" i="2"/>
  <c r="T12" i="2"/>
  <c r="U12" i="2"/>
  <c r="W12" i="2"/>
  <c r="X12" i="2"/>
  <c r="Z12" i="2"/>
  <c r="AA12" i="2"/>
  <c r="AB12" i="2"/>
  <c r="AC12" i="2"/>
  <c r="AD12" i="2"/>
  <c r="AE12" i="2"/>
  <c r="AF12" i="2"/>
  <c r="AH12" i="2"/>
  <c r="AF11" i="2" l="1"/>
  <c r="AF10" i="2" l="1"/>
  <c r="AF303" i="2" s="1"/>
  <c r="D15" i="1" l="1"/>
  <c r="E15" i="1" l="1"/>
  <c r="F15" i="1" s="1"/>
  <c r="E25" i="1" l="1"/>
  <c r="E33" i="1" l="1"/>
  <c r="F33" i="1" s="1"/>
  <c r="Q10" i="2" l="1"/>
  <c r="U10" i="2"/>
  <c r="AA10" i="2"/>
  <c r="AE10" i="2"/>
  <c r="R10" i="2"/>
  <c r="AB10" i="2"/>
  <c r="P10" i="2"/>
  <c r="Z10" i="2"/>
  <c r="N10" i="2"/>
  <c r="W10" i="2"/>
  <c r="AH10" i="2"/>
  <c r="T10" i="2"/>
  <c r="O10" i="2"/>
  <c r="S10" i="2"/>
  <c r="X10" i="2"/>
  <c r="AC10" i="2"/>
  <c r="AD10" i="2"/>
  <c r="N11" i="2"/>
  <c r="N303" i="2" s="1"/>
  <c r="R11" i="2"/>
  <c r="R303" i="2" s="1"/>
  <c r="W11" i="2"/>
  <c r="W303" i="2" s="1"/>
  <c r="AB11" i="2"/>
  <c r="AH11" i="2"/>
  <c r="O11" i="2"/>
  <c r="X11" i="2"/>
  <c r="AC11" i="2"/>
  <c r="U11" i="2"/>
  <c r="U303" i="2" s="1"/>
  <c r="S11" i="2"/>
  <c r="AA11" i="2"/>
  <c r="AA303" i="2" s="1"/>
  <c r="P11" i="2"/>
  <c r="P303" i="2" s="1"/>
  <c r="T11" i="2"/>
  <c r="Z11" i="2"/>
  <c r="Z303" i="2" s="1"/>
  <c r="AD11" i="2"/>
  <c r="Q11" i="2"/>
  <c r="Q303" i="2" s="1"/>
  <c r="AE11" i="2"/>
  <c r="AE303" i="2" s="1"/>
  <c r="T303" i="2" l="1"/>
  <c r="S303" i="2"/>
  <c r="AD303" i="2"/>
  <c r="AC303" i="2"/>
  <c r="X303" i="2"/>
  <c r="D27" i="1" s="1"/>
  <c r="O303" i="2"/>
  <c r="AH303" i="2"/>
  <c r="AB303" i="2"/>
  <c r="D35" i="1"/>
  <c r="D39" i="1"/>
  <c r="D9" i="1"/>
  <c r="D45" i="1"/>
  <c r="D11" i="1"/>
  <c r="E23" i="1" l="1"/>
  <c r="E49" i="1"/>
  <c r="E45" i="1"/>
  <c r="F45" i="1" s="1"/>
  <c r="E9" i="1" l="1"/>
  <c r="F9" i="1" s="1"/>
  <c r="E11" i="1"/>
  <c r="F11" i="1" s="1"/>
  <c r="E19" i="1" l="1"/>
  <c r="E21" i="1"/>
  <c r="E29" i="1" l="1"/>
  <c r="E27" i="1" l="1"/>
  <c r="F27" i="1" s="1"/>
  <c r="E35" i="1" l="1"/>
  <c r="F35" i="1" s="1"/>
  <c r="E37" i="1" l="1"/>
  <c r="E39" i="1" l="1"/>
  <c r="F39" i="1" s="1"/>
  <c r="E41" i="1" l="1"/>
  <c r="E43" i="1" l="1"/>
  <c r="E47" i="1" l="1"/>
  <c r="E7" i="1" l="1"/>
  <c r="D21" i="1"/>
  <c r="F21" i="1" s="1"/>
  <c r="D37" i="1"/>
  <c r="F37" i="1" s="1"/>
  <c r="D41" i="1"/>
  <c r="F41" i="1" s="1"/>
  <c r="D19" i="1"/>
  <c r="F19" i="1" s="1"/>
  <c r="D43" i="1"/>
  <c r="F43" i="1" s="1"/>
  <c r="D29" i="1"/>
  <c r="F29" i="1" s="1"/>
  <c r="D47" i="1"/>
  <c r="F47" i="1" s="1"/>
  <c r="D17" i="1"/>
  <c r="F17" i="1" s="1"/>
  <c r="D23" i="1"/>
  <c r="F23" i="1" s="1"/>
  <c r="D49" i="1"/>
  <c r="F49" i="1" s="1"/>
  <c r="D13" i="1"/>
  <c r="F13" i="1" s="1"/>
  <c r="D25" i="1"/>
  <c r="F25" i="1" s="1"/>
  <c r="D7" i="1"/>
  <c r="F7" i="1" l="1"/>
</calcChain>
</file>

<file path=xl/sharedStrings.xml><?xml version="1.0" encoding="utf-8"?>
<sst xmlns="http://schemas.openxmlformats.org/spreadsheetml/2006/main" count="834" uniqueCount="385">
  <si>
    <t>RECIBO</t>
  </si>
  <si>
    <t>ALUGUEL</t>
  </si>
  <si>
    <t>ENCARGOS</t>
  </si>
  <si>
    <t>ACORDO</t>
  </si>
  <si>
    <t>CONDOMÍNIO</t>
  </si>
  <si>
    <t>IPTU</t>
  </si>
  <si>
    <t>SEGURO</t>
  </si>
  <si>
    <t>IR</t>
  </si>
  <si>
    <t>TX BCO</t>
  </si>
  <si>
    <t>HONORÁRIOS</t>
  </si>
  <si>
    <t>OUTROS</t>
  </si>
  <si>
    <t>TOTAL</t>
  </si>
  <si>
    <t>Rua Florêncio de Abreu, 60</t>
  </si>
  <si>
    <t>Rua Florêncio de Abreu, 66/70/74</t>
  </si>
  <si>
    <t>Rua 25 de Março, 669</t>
  </si>
  <si>
    <t>Rua 25 de Março, 661</t>
  </si>
  <si>
    <t>Loja 4</t>
  </si>
  <si>
    <t>Loja 5</t>
  </si>
  <si>
    <t>Loja 8-8C</t>
  </si>
  <si>
    <t>Loja 12</t>
  </si>
  <si>
    <t>Loja 13A</t>
  </si>
  <si>
    <t>Loja 17</t>
  </si>
  <si>
    <t>Vitrine 33</t>
  </si>
  <si>
    <t>Vitrine 34</t>
  </si>
  <si>
    <t>Vitrine 36</t>
  </si>
  <si>
    <t>Vitrine 38</t>
  </si>
  <si>
    <t>Vitrine 42</t>
  </si>
  <si>
    <t>Vitrine 43</t>
  </si>
  <si>
    <t>Vitrine 48</t>
  </si>
  <si>
    <t>Vitrine 52</t>
  </si>
  <si>
    <t>Vitrine 56</t>
  </si>
  <si>
    <t>1ºF</t>
  </si>
  <si>
    <t>1ºM</t>
  </si>
  <si>
    <t>2ºF</t>
  </si>
  <si>
    <t>2ºJ</t>
  </si>
  <si>
    <t>2ºK</t>
  </si>
  <si>
    <t>3ºD</t>
  </si>
  <si>
    <t>3ºL</t>
  </si>
  <si>
    <t>3ºM</t>
  </si>
  <si>
    <t>5ºB</t>
  </si>
  <si>
    <t>5ºC</t>
  </si>
  <si>
    <t>5ºG</t>
  </si>
  <si>
    <t>5ºH</t>
  </si>
  <si>
    <t>5ºI</t>
  </si>
  <si>
    <t>6ºD</t>
  </si>
  <si>
    <t>6ºJ</t>
  </si>
  <si>
    <t>6ºM</t>
  </si>
  <si>
    <t>7ºH</t>
  </si>
  <si>
    <t>8ºA</t>
  </si>
  <si>
    <t>8ºC</t>
  </si>
  <si>
    <t>8ºE</t>
  </si>
  <si>
    <t>8ºI</t>
  </si>
  <si>
    <t>8ºJ</t>
  </si>
  <si>
    <t>9ºG</t>
  </si>
  <si>
    <t>9ºSala 1</t>
  </si>
  <si>
    <t>Receitas</t>
  </si>
  <si>
    <t>CAROLINE</t>
  </si>
  <si>
    <t>THYAGO</t>
  </si>
  <si>
    <t>FREDERICO</t>
  </si>
  <si>
    <t>EDDA</t>
  </si>
  <si>
    <t>CLAUDINA</t>
  </si>
  <si>
    <t>VARAM</t>
  </si>
  <si>
    <t>ADRIANA</t>
  </si>
  <si>
    <t>CAROLINA</t>
  </si>
  <si>
    <t>JULIANA</t>
  </si>
  <si>
    <t>MONIQUE</t>
  </si>
  <si>
    <t>VIVIANE</t>
  </si>
  <si>
    <t>DENISE</t>
  </si>
  <si>
    <t>ROPSIMÉ</t>
  </si>
  <si>
    <t>ROKE</t>
  </si>
  <si>
    <t>DESPESAS</t>
  </si>
  <si>
    <t>VALOR</t>
  </si>
  <si>
    <t>VIVIANNE</t>
  </si>
  <si>
    <t>Honorários Administrativos - Ed. Claudina</t>
  </si>
  <si>
    <t>Retenção Fundo de Reserva Ed. Claudina - (3%)</t>
  </si>
  <si>
    <t>Despesas com Cartório - Marcos K. e Outros</t>
  </si>
  <si>
    <t>SUB TOTAL:</t>
  </si>
  <si>
    <t>Honorários administrativos - Outros Imóveis</t>
  </si>
  <si>
    <t>DESPESAS INDIVIDUAIS</t>
  </si>
  <si>
    <t>Repasse (Mônica Lewandowski)</t>
  </si>
  <si>
    <t>Repasse (Denise Haddad)</t>
  </si>
  <si>
    <t>Repasse (Viviane Haddad)</t>
  </si>
  <si>
    <t>Repasse (Juliana Mattos Haddad)</t>
  </si>
  <si>
    <t>Repasse(Claudina Keutenedjian)</t>
  </si>
  <si>
    <t>Repasse (Adriana Keutenedjian)</t>
  </si>
  <si>
    <t>Repasse (Varam Keutenedjian Neto)</t>
  </si>
  <si>
    <t>Repasse(Maria Carolina K. Mady)</t>
  </si>
  <si>
    <t>Repasse (Thyago C. Keutenedjian)</t>
  </si>
  <si>
    <t>Repasse (Frederico C. Keutenedjian)</t>
  </si>
  <si>
    <t>Repasse (Caroline C. Keutenedjian)</t>
  </si>
  <si>
    <t>Repasse (Ropsimé Keutenedjian)</t>
  </si>
  <si>
    <t>Repasse (Roke Empreendimentos Ltda.)</t>
  </si>
  <si>
    <t>TOTAL DE DESPESAS:</t>
  </si>
  <si>
    <t>SALDO ANTERIOR</t>
  </si>
  <si>
    <t>RECEITAS DO MÊS</t>
  </si>
  <si>
    <t>DESPESAS DO MÊS</t>
  </si>
  <si>
    <t>SALDO ATUAL</t>
  </si>
  <si>
    <t>CAROLINE CORDEIRO KEUTENEDJIAN</t>
  </si>
  <si>
    <t>THYAGO BAPTISTA CORDEIRO KEUTENEDJIAN</t>
  </si>
  <si>
    <t>FREDERICO CORDEIRO KEUTENEDJIAN</t>
  </si>
  <si>
    <t>CLAUDINA VARAM KEUTENEDJIAN MAKHOUL</t>
  </si>
  <si>
    <t>VARAM KEUTENEDJIAN NETO</t>
  </si>
  <si>
    <t>MARIA CAROLINA VARAM KEUTENEDJIAN MADY</t>
  </si>
  <si>
    <t>ADRIANA VARAM KEUTENEDJIAN ZIMMERMANN</t>
  </si>
  <si>
    <t>JULIANA MATOS HADDAD</t>
  </si>
  <si>
    <t>MONIQUE HADDAD LEWANDOWSKY</t>
  </si>
  <si>
    <t>VIVIANNE HADDAD MORUZZI</t>
  </si>
  <si>
    <t>DENISE HADDAD</t>
  </si>
  <si>
    <t>ROPSIMÉ KEUTENEDJIAN MILANI</t>
  </si>
  <si>
    <t>EDDA MILANI KEUTENEDJIAN</t>
  </si>
  <si>
    <t>ROKE LTDA.</t>
  </si>
  <si>
    <t>6ºSala 1</t>
  </si>
  <si>
    <t>ROPSIME CLAUDINA VARAM KEUTENEDJIAN</t>
  </si>
  <si>
    <t>Repasse (Ropsime Claudina Keutenedjian)</t>
  </si>
  <si>
    <t>Loja 15</t>
  </si>
  <si>
    <t>10ºSala 4</t>
  </si>
  <si>
    <t>Vitrine 03</t>
  </si>
  <si>
    <t>M. ANTONIO</t>
  </si>
  <si>
    <t>MARCO ANTÔNIO KEUTENEDJIAN MILANI</t>
  </si>
  <si>
    <t>Repasse (Marco Antônio Keutenedjian Milani)</t>
  </si>
  <si>
    <t>CARLOS ANIBAL HADDAD</t>
  </si>
  <si>
    <t>Loja 1</t>
  </si>
  <si>
    <t>Loja 1A</t>
  </si>
  <si>
    <t>Loja 1B</t>
  </si>
  <si>
    <t>Loja 1C</t>
  </si>
  <si>
    <t>Loja 1C - SS</t>
  </si>
  <si>
    <t>Loja 3</t>
  </si>
  <si>
    <t xml:space="preserve">Loja 5A </t>
  </si>
  <si>
    <t>Loja 6/7</t>
  </si>
  <si>
    <t>Loja 7A</t>
  </si>
  <si>
    <t>Loja 8A</t>
  </si>
  <si>
    <t>Loja 8B</t>
  </si>
  <si>
    <t>Loja 9</t>
  </si>
  <si>
    <t xml:space="preserve">Loja 10 </t>
  </si>
  <si>
    <t>Loja 11</t>
  </si>
  <si>
    <t>Loja 13</t>
  </si>
  <si>
    <t>Loja 14</t>
  </si>
  <si>
    <t>Vitrine 1A</t>
  </si>
  <si>
    <t>Vitrine 4A</t>
  </si>
  <si>
    <t>Vitrine 5A/5B</t>
  </si>
  <si>
    <t>Vitrine 08</t>
  </si>
  <si>
    <t>Vitrine 10</t>
  </si>
  <si>
    <t>Vitrine 7A/7B</t>
  </si>
  <si>
    <t>Vitrine 9A/9B</t>
  </si>
  <si>
    <t>Vitrine 11A/11B</t>
  </si>
  <si>
    <t>Vitrine 12</t>
  </si>
  <si>
    <t>Vitrine 13A/13B</t>
  </si>
  <si>
    <t>Vitrine 15/17</t>
  </si>
  <si>
    <t>Vitrine 18</t>
  </si>
  <si>
    <t>Vitrine 20</t>
  </si>
  <si>
    <t>Vitrine 22/24</t>
  </si>
  <si>
    <t>Vitrine 26/28</t>
  </si>
  <si>
    <t>Vitrine 27</t>
  </si>
  <si>
    <t>Vitrine 29</t>
  </si>
  <si>
    <t>Vitrine 30</t>
  </si>
  <si>
    <t>Vitrine 31</t>
  </si>
  <si>
    <t>Vitrine 32</t>
  </si>
  <si>
    <t>Vitrine 35</t>
  </si>
  <si>
    <t>Vitrine 37</t>
  </si>
  <si>
    <t>Vitrine 39</t>
  </si>
  <si>
    <t>Vitrine 40</t>
  </si>
  <si>
    <t>Vitrine 41</t>
  </si>
  <si>
    <t>Vitrine 44</t>
  </si>
  <si>
    <t>Vitrine 46</t>
  </si>
  <si>
    <t>Vitrine 50</t>
  </si>
  <si>
    <t>Vitrine 54</t>
  </si>
  <si>
    <t>Vitrine 58</t>
  </si>
  <si>
    <t>Vitrine 60</t>
  </si>
  <si>
    <t>Vitrine 61</t>
  </si>
  <si>
    <t>Vitrine 63</t>
  </si>
  <si>
    <t>1ºG</t>
  </si>
  <si>
    <t>1ºH</t>
  </si>
  <si>
    <t>1ºJ</t>
  </si>
  <si>
    <t>1ºK</t>
  </si>
  <si>
    <t>1ºL</t>
  </si>
  <si>
    <t>2ºA</t>
  </si>
  <si>
    <t>2ºB</t>
  </si>
  <si>
    <t>2ºC</t>
  </si>
  <si>
    <t>2ºD</t>
  </si>
  <si>
    <t>2ºE</t>
  </si>
  <si>
    <t>2ºG</t>
  </si>
  <si>
    <t>2ºH</t>
  </si>
  <si>
    <t>2ºI</t>
  </si>
  <si>
    <t>2ºL</t>
  </si>
  <si>
    <t>2ºM</t>
  </si>
  <si>
    <t>3ºA</t>
  </si>
  <si>
    <t>3ºB</t>
  </si>
  <si>
    <t>3ºC</t>
  </si>
  <si>
    <t>3ºE</t>
  </si>
  <si>
    <t>3ºF</t>
  </si>
  <si>
    <t>3ºG</t>
  </si>
  <si>
    <t>3ºH</t>
  </si>
  <si>
    <t>3ºI</t>
  </si>
  <si>
    <t>3ºJ</t>
  </si>
  <si>
    <t>3ºK</t>
  </si>
  <si>
    <t>4ºA</t>
  </si>
  <si>
    <t>4ºB</t>
  </si>
  <si>
    <t>4ºC</t>
  </si>
  <si>
    <t>4ºD</t>
  </si>
  <si>
    <t>4ºE</t>
  </si>
  <si>
    <t>4ºF</t>
  </si>
  <si>
    <t>4ºG</t>
  </si>
  <si>
    <t>4ºH</t>
  </si>
  <si>
    <t>4ºI</t>
  </si>
  <si>
    <t>4ºJ</t>
  </si>
  <si>
    <t>4ºK</t>
  </si>
  <si>
    <t>4ºL</t>
  </si>
  <si>
    <t>4ºM</t>
  </si>
  <si>
    <t>5ºA</t>
  </si>
  <si>
    <t>5ºD</t>
  </si>
  <si>
    <t>5ºE</t>
  </si>
  <si>
    <t>5ºF</t>
  </si>
  <si>
    <t>5ºJ</t>
  </si>
  <si>
    <t>5ºK</t>
  </si>
  <si>
    <t>5ºL</t>
  </si>
  <si>
    <t>5ºM</t>
  </si>
  <si>
    <t>6ºA</t>
  </si>
  <si>
    <t>6ºB</t>
  </si>
  <si>
    <t>6ºC</t>
  </si>
  <si>
    <t>6ºE</t>
  </si>
  <si>
    <t>6ºF</t>
  </si>
  <si>
    <t>6ºG</t>
  </si>
  <si>
    <t>6ºH</t>
  </si>
  <si>
    <t>6ºI</t>
  </si>
  <si>
    <t>6ºK</t>
  </si>
  <si>
    <t>6ºL</t>
  </si>
  <si>
    <t>7ºA</t>
  </si>
  <si>
    <t>7ºB</t>
  </si>
  <si>
    <t>7ºC</t>
  </si>
  <si>
    <t>7ºD</t>
  </si>
  <si>
    <t>7ºE</t>
  </si>
  <si>
    <t>7ºF</t>
  </si>
  <si>
    <t>7ºG</t>
  </si>
  <si>
    <t>7ºI</t>
  </si>
  <si>
    <t>7ºJ</t>
  </si>
  <si>
    <t>7ºK</t>
  </si>
  <si>
    <t>7ºL</t>
  </si>
  <si>
    <t>7ºM</t>
  </si>
  <si>
    <t>8ºB</t>
  </si>
  <si>
    <t>8ºD</t>
  </si>
  <si>
    <t>8ºF</t>
  </si>
  <si>
    <t>8ºG</t>
  </si>
  <si>
    <t>8ºH</t>
  </si>
  <si>
    <t>8ºK</t>
  </si>
  <si>
    <t>8ºL</t>
  </si>
  <si>
    <t>8ºM</t>
  </si>
  <si>
    <t>9ºA</t>
  </si>
  <si>
    <t>9ºB</t>
  </si>
  <si>
    <t>9ºC</t>
  </si>
  <si>
    <t>9ºD</t>
  </si>
  <si>
    <t>9ºE</t>
  </si>
  <si>
    <t>9ºF</t>
  </si>
  <si>
    <t>10ºA</t>
  </si>
  <si>
    <t>10ºB</t>
  </si>
  <si>
    <t>10ºC</t>
  </si>
  <si>
    <t>10ºD</t>
  </si>
  <si>
    <t>10ºE</t>
  </si>
  <si>
    <t>10ºF</t>
  </si>
  <si>
    <t>10ºG</t>
  </si>
  <si>
    <t>11ºA</t>
  </si>
  <si>
    <t>11ºB</t>
  </si>
  <si>
    <t>11ºC</t>
  </si>
  <si>
    <t>11ºD</t>
  </si>
  <si>
    <t>11ºE</t>
  </si>
  <si>
    <t>11ºF</t>
  </si>
  <si>
    <t>11ºG</t>
  </si>
  <si>
    <t>1ºSala 4</t>
  </si>
  <si>
    <t>2ºsala 1</t>
  </si>
  <si>
    <t>2ºsala 2</t>
  </si>
  <si>
    <t>2ºsala 3</t>
  </si>
  <si>
    <t>2ºsala 4</t>
  </si>
  <si>
    <t>3ºsala 1</t>
  </si>
  <si>
    <t>5ºSala 1</t>
  </si>
  <si>
    <t>5ºSala 2</t>
  </si>
  <si>
    <t>5ºSala 3</t>
  </si>
  <si>
    <t>5ºSala 4</t>
  </si>
  <si>
    <t>6ºSala 2</t>
  </si>
  <si>
    <t>6ºSala 3</t>
  </si>
  <si>
    <t>7ºSala 1</t>
  </si>
  <si>
    <t>7ºSala 2</t>
  </si>
  <si>
    <t>7ºSala 3</t>
  </si>
  <si>
    <t>7ºSala 4</t>
  </si>
  <si>
    <t>8ºSala 1</t>
  </si>
  <si>
    <t>8ºSala 2</t>
  </si>
  <si>
    <t>8ºSala 3</t>
  </si>
  <si>
    <t>8ºSala 4</t>
  </si>
  <si>
    <t>9ºSala 2</t>
  </si>
  <si>
    <t>9ºSala 3</t>
  </si>
  <si>
    <t>10ºSala 1</t>
  </si>
  <si>
    <t>10ºSala 2</t>
  </si>
  <si>
    <t>10ºSala 3</t>
  </si>
  <si>
    <t>11ºSala 1</t>
  </si>
  <si>
    <t>11ºSala 2</t>
  </si>
  <si>
    <t>11ºSala 3</t>
  </si>
  <si>
    <t>2ºandar 7 de abril</t>
  </si>
  <si>
    <t>4ºandar 7 de abril</t>
  </si>
  <si>
    <t>3º Sala 4 - Box 341</t>
  </si>
  <si>
    <t>3º Sala 4 - Box 342</t>
  </si>
  <si>
    <t>3º Sala 4 - Box 343</t>
  </si>
  <si>
    <t>3º Sala 4 - Box 344</t>
  </si>
  <si>
    <t>3º Sala 4 - Box 345</t>
  </si>
  <si>
    <t>3º Sala 4 - Box 346</t>
  </si>
  <si>
    <t>3º Sala 4 - Box 347</t>
  </si>
  <si>
    <t>3º Sala 4 - Box 348</t>
  </si>
  <si>
    <t>3º Sala 4 - Box 349</t>
  </si>
  <si>
    <t>6º Sala 4 - Box 641A</t>
  </si>
  <si>
    <t>6º Sala 4 - Box 641B</t>
  </si>
  <si>
    <t>6º Sala 4 - Box 642A</t>
  </si>
  <si>
    <t>6º Sala 4 - Box 642B</t>
  </si>
  <si>
    <t>6º Sala 4 - Box 643A</t>
  </si>
  <si>
    <t>6º Sala 4 - Box 643B</t>
  </si>
  <si>
    <t>6º Sala 4 - Box 644A</t>
  </si>
  <si>
    <t>6º Sala 4 - Box 644B</t>
  </si>
  <si>
    <t>6º Sala 4 - Box 645A</t>
  </si>
  <si>
    <t>6ºSala 4 - Box 645B</t>
  </si>
  <si>
    <t>6º Sala 4 - Box 646A</t>
  </si>
  <si>
    <t>6º Sala 4 - Box 646B</t>
  </si>
  <si>
    <t>9ºSala 4 - Box 943</t>
  </si>
  <si>
    <t>9ºSala 4 - Box 944</t>
  </si>
  <si>
    <t>9ºSala 4 - Box 945</t>
  </si>
  <si>
    <t>9ºSala 4 - Box 947</t>
  </si>
  <si>
    <t>ThyssenKrupp - 25 de Março</t>
  </si>
  <si>
    <t>Loja 2-QUADRADA</t>
  </si>
  <si>
    <t>Quiosque 1</t>
  </si>
  <si>
    <t>1ºSala 1</t>
  </si>
  <si>
    <t>1ºSala 2</t>
  </si>
  <si>
    <t>1ºSala 3</t>
  </si>
  <si>
    <t>3ºSala 2</t>
  </si>
  <si>
    <t>3ºSala 3</t>
  </si>
  <si>
    <t>4ºSala 1</t>
  </si>
  <si>
    <t>4ºSala 2</t>
  </si>
  <si>
    <t>4ºSala 3</t>
  </si>
  <si>
    <t>4ºSala 4</t>
  </si>
  <si>
    <t>Loja 2A -FRENTE</t>
  </si>
  <si>
    <t>9ºSala 4 - Box 941</t>
  </si>
  <si>
    <t>9ºSala 4 - Box 946</t>
  </si>
  <si>
    <t>Despesas Extraordináris - 5 Irmãos</t>
  </si>
  <si>
    <t>Despesas - M. Teresa Gasparian</t>
  </si>
  <si>
    <t>Repasse (Keute)</t>
  </si>
  <si>
    <t>KEUTE</t>
  </si>
  <si>
    <t>KEUTE ADMINISTRAÇÃO E PARTICIPAÇÕES</t>
  </si>
  <si>
    <t>1ºA</t>
  </si>
  <si>
    <t>1ºB</t>
  </si>
  <si>
    <t>1ºC</t>
  </si>
  <si>
    <t>1ºD</t>
  </si>
  <si>
    <t>1ºE</t>
  </si>
  <si>
    <t>1ºandar 7 de abril</t>
  </si>
  <si>
    <t>Loja 8D</t>
  </si>
  <si>
    <t>9ºSala 4 - Box 942</t>
  </si>
  <si>
    <t xml:space="preserve">3ºandar 7 de abril </t>
  </si>
  <si>
    <t>HENRIQUE GASPARIAN KEUTENEDJIAN</t>
  </si>
  <si>
    <t>MARIA TERESA GASPARIAN KEUTENEDJIAN</t>
  </si>
  <si>
    <t>M. TERESA</t>
  </si>
  <si>
    <t>HENRIQUE G.</t>
  </si>
  <si>
    <t>HENRIQUE</t>
  </si>
  <si>
    <t>ROPSIME C</t>
  </si>
  <si>
    <t>Repasse(M.Teresa Gasparian Keutenedjian)</t>
  </si>
  <si>
    <t>Repasse(Henrique Gasparian Keutenedjian)</t>
  </si>
  <si>
    <t xml:space="preserve"> </t>
  </si>
  <si>
    <t>Loja 17A</t>
  </si>
  <si>
    <t>Condomínios - Ed. Claudina + IPTU</t>
  </si>
  <si>
    <t>Ajustes de Saldos Individual</t>
  </si>
  <si>
    <t>HALLELUJAH</t>
  </si>
  <si>
    <t>Repasse (Hallejujah)</t>
  </si>
  <si>
    <t>Regularização - 25 de Março</t>
  </si>
  <si>
    <t>HALLELUJAH PARTICIPAÇÕES LTDA</t>
  </si>
  <si>
    <t>Vitrine 19/21/23/25</t>
  </si>
  <si>
    <t>FKZ</t>
  </si>
  <si>
    <t>FKZ INVESTIMENTOS E PARTICIPACOES</t>
  </si>
  <si>
    <t>Repasse(FKZ Inv.)</t>
  </si>
  <si>
    <t>Honorários Advocatícios(Astúrias Guarujá)</t>
  </si>
  <si>
    <t>Transf. de Saldo</t>
  </si>
  <si>
    <t>1ºI</t>
  </si>
  <si>
    <t>Despesas - Limpeza do Terreno</t>
  </si>
  <si>
    <t>Despesas - Pericia Iguape</t>
  </si>
  <si>
    <t>Despesas - Vivianne H.</t>
  </si>
  <si>
    <t>Guias Judiciais - Processo CE Claudina</t>
  </si>
  <si>
    <t>SALDOS INDIVIDUAIS - MAIO/2026</t>
  </si>
  <si>
    <t>DISTRIBUIÇÃO DE DESPESAS - MAIO/2026</t>
  </si>
  <si>
    <t>DISTRIBUIÇÃO DE RECEITAS - MAIO/2026</t>
  </si>
  <si>
    <t>PRESTAÇÃO DE CONTAS - MAIO/2026</t>
  </si>
  <si>
    <t>IPTU - Parcela 03/10 - Florêncio de Abreu 60,66,70 e 74</t>
  </si>
  <si>
    <t>IPTU - Parcela 04/10 - R. 25 de Março, 661,669</t>
  </si>
  <si>
    <t>IPTU - Parcela 03/10 - R. Maria Amália L Azevedo, S/N</t>
  </si>
  <si>
    <t>Despesas - Ropsime Claudina V Keutenedjian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</si>
</sst>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&quot;R$ &quot;* #,##0.00_);_(&quot;R$ &quot;* \(#,##0.00\);_(&quot;R$ &quot;* &quot;-&quot;??_);_(@_)"/>
    <numFmt numFmtId="167" formatCode="0.000000%"/>
    <numFmt numFmtId="168" formatCode="&quot;R$&quot;\ #,##0.00"/>
    <numFmt numFmtId="169" formatCode="0.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4"/>
      <color theme="1"/>
      <name val="Century Gothic"/>
      <family val="2"/>
    </font>
    <font>
      <b/>
      <sz val="12"/>
      <name val="Calibri"/>
      <family val="2"/>
      <scheme val="minor"/>
    </font>
    <font>
      <b/>
      <sz val="14"/>
      <color theme="3"/>
      <name val="Century Gothic"/>
      <family val="2"/>
    </font>
    <font>
      <b/>
      <sz val="12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6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168" fontId="0" fillId="0" borderId="0" xfId="0" applyNumberFormat="1"/>
    <xf numFmtId="0" fontId="2" fillId="0" borderId="0" xfId="0" applyFont="1"/>
    <xf numFmtId="168" fontId="3" fillId="0" borderId="0" xfId="0" applyNumberFormat="1" applyFont="1" applyAlignment="1">
      <alignment horizontal="center"/>
    </xf>
    <xf numFmtId="43" fontId="0" fillId="0" borderId="0" xfId="0" applyNumberFormat="1"/>
    <xf numFmtId="168" fontId="2" fillId="0" borderId="0" xfId="0" applyNumberFormat="1" applyFont="1"/>
    <xf numFmtId="165" fontId="0" fillId="0" borderId="0" xfId="0" applyNumberFormat="1"/>
    <xf numFmtId="168" fontId="5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center"/>
    </xf>
    <xf numFmtId="164" fontId="2" fillId="0" borderId="0" xfId="2" applyFont="1"/>
    <xf numFmtId="0" fontId="7" fillId="0" borderId="7" xfId="0" applyFont="1" applyBorder="1" applyAlignment="1">
      <alignment horizontal="center"/>
    </xf>
    <xf numFmtId="165" fontId="7" fillId="0" borderId="7" xfId="1" applyFont="1" applyFill="1" applyBorder="1"/>
    <xf numFmtId="165" fontId="7" fillId="0" borderId="7" xfId="1" applyFont="1" applyFill="1" applyBorder="1" applyAlignment="1">
      <alignment horizontal="left"/>
    </xf>
    <xf numFmtId="168" fontId="9" fillId="3" borderId="7" xfId="0" applyNumberFormat="1" applyFont="1" applyFill="1" applyBorder="1" applyAlignment="1">
      <alignment horizontal="center"/>
    </xf>
    <xf numFmtId="168" fontId="9" fillId="3" borderId="7" xfId="1" applyNumberFormat="1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9" fontId="8" fillId="0" borderId="7" xfId="0" applyNumberFormat="1" applyFont="1" applyBorder="1" applyAlignment="1">
      <alignment horizontal="center"/>
    </xf>
    <xf numFmtId="167" fontId="8" fillId="0" borderId="7" xfId="0" applyNumberFormat="1" applyFont="1" applyBorder="1" applyAlignment="1">
      <alignment horizontal="center"/>
    </xf>
    <xf numFmtId="10" fontId="8" fillId="0" borderId="7" xfId="0" applyNumberFormat="1" applyFont="1" applyBorder="1" applyAlignment="1">
      <alignment horizontal="center"/>
    </xf>
    <xf numFmtId="9" fontId="8" fillId="0" borderId="7" xfId="3" applyFont="1" applyBorder="1" applyAlignment="1">
      <alignment horizontal="center"/>
    </xf>
    <xf numFmtId="166" fontId="8" fillId="0" borderId="7" xfId="2" applyNumberFormat="1" applyFont="1" applyBorder="1" applyAlignment="1">
      <alignment horizontal="center"/>
    </xf>
    <xf numFmtId="164" fontId="8" fillId="0" borderId="7" xfId="2" applyFont="1" applyBorder="1" applyAlignment="1">
      <alignment horizontal="center"/>
    </xf>
    <xf numFmtId="9" fontId="8" fillId="0" borderId="7" xfId="2" applyNumberFormat="1" applyFont="1" applyBorder="1" applyAlignment="1">
      <alignment horizontal="center"/>
    </xf>
    <xf numFmtId="166" fontId="8" fillId="0" borderId="7" xfId="0" applyNumberFormat="1" applyFont="1" applyBorder="1" applyAlignment="1">
      <alignment horizontal="center"/>
    </xf>
    <xf numFmtId="169" fontId="8" fillId="0" borderId="7" xfId="3" applyNumberFormat="1" applyFont="1" applyBorder="1" applyAlignment="1">
      <alignment horizontal="center"/>
    </xf>
    <xf numFmtId="169" fontId="8" fillId="0" borderId="7" xfId="0" applyNumberFormat="1" applyFont="1" applyBorder="1" applyAlignment="1">
      <alignment horizontal="center"/>
    </xf>
    <xf numFmtId="167" fontId="8" fillId="0" borderId="7" xfId="3" applyNumberFormat="1" applyFont="1" applyBorder="1" applyAlignment="1">
      <alignment horizontal="center"/>
    </xf>
    <xf numFmtId="168" fontId="9" fillId="0" borderId="7" xfId="2" applyNumberFormat="1" applyFont="1" applyBorder="1" applyAlignment="1">
      <alignment horizontal="center" vertical="center"/>
    </xf>
    <xf numFmtId="168" fontId="9" fillId="2" borderId="7" xfId="2" applyNumberFormat="1" applyFont="1" applyFill="1" applyBorder="1" applyAlignment="1">
      <alignment horizontal="center"/>
    </xf>
    <xf numFmtId="168" fontId="9" fillId="2" borderId="9" xfId="2" applyNumberFormat="1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165" fontId="9" fillId="2" borderId="7" xfId="1" applyFont="1" applyFill="1" applyBorder="1" applyAlignment="1">
      <alignment horizontal="center"/>
    </xf>
    <xf numFmtId="0" fontId="12" fillId="0" borderId="0" xfId="0" applyFont="1"/>
    <xf numFmtId="166" fontId="7" fillId="0" borderId="7" xfId="2" applyNumberFormat="1" applyFont="1" applyBorder="1" applyAlignment="1">
      <alignment horizontal="center"/>
    </xf>
    <xf numFmtId="49" fontId="11" fillId="0" borderId="7" xfId="2" applyNumberFormat="1" applyFont="1" applyBorder="1" applyAlignment="1">
      <alignment horizontal="left"/>
    </xf>
    <xf numFmtId="49" fontId="11" fillId="2" borderId="7" xfId="2" applyNumberFormat="1" applyFont="1" applyFill="1" applyBorder="1" applyAlignment="1">
      <alignment horizontal="left" vertical="center"/>
    </xf>
    <xf numFmtId="49" fontId="11" fillId="0" borderId="7" xfId="2" applyNumberFormat="1" applyFont="1" applyBorder="1"/>
    <xf numFmtId="49" fontId="11" fillId="2" borderId="7" xfId="2" applyNumberFormat="1" applyFont="1" applyFill="1" applyBorder="1"/>
    <xf numFmtId="168" fontId="9" fillId="2" borderId="7" xfId="2" applyNumberFormat="1" applyFont="1" applyFill="1" applyBorder="1" applyAlignment="1">
      <alignment horizontal="center" vertical="center"/>
    </xf>
    <xf numFmtId="49" fontId="8" fillId="0" borderId="7" xfId="2" applyNumberFormat="1" applyFont="1" applyBorder="1"/>
    <xf numFmtId="164" fontId="7" fillId="0" borderId="7" xfId="2" applyFont="1" applyBorder="1" applyAlignment="1">
      <alignment horizontal="right"/>
    </xf>
    <xf numFmtId="164" fontId="0" fillId="0" borderId="0" xfId="2" applyFont="1"/>
    <xf numFmtId="44" fontId="0" fillId="0" borderId="0" xfId="0" applyNumberFormat="1"/>
    <xf numFmtId="166" fontId="9" fillId="0" borderId="7" xfId="2" applyNumberFormat="1" applyFont="1" applyBorder="1" applyAlignment="1">
      <alignment horizontal="center"/>
    </xf>
    <xf numFmtId="44" fontId="2" fillId="0" borderId="0" xfId="0" applyNumberFormat="1" applyFont="1"/>
    <xf numFmtId="44" fontId="0" fillId="0" borderId="0" xfId="2" applyNumberFormat="1" applyFont="1"/>
    <xf numFmtId="165" fontId="7" fillId="2" borderId="7" xfId="1" applyFont="1" applyFill="1" applyBorder="1" applyAlignment="1">
      <alignment horizontal="center"/>
    </xf>
    <xf numFmtId="165" fontId="7" fillId="2" borderId="7" xfId="1" applyFont="1" applyFill="1" applyBorder="1"/>
    <xf numFmtId="165" fontId="7" fillId="2" borderId="7" xfId="1" applyFont="1" applyFill="1" applyBorder="1" applyAlignment="1">
      <alignment horizontal="left"/>
    </xf>
    <xf numFmtId="0" fontId="13" fillId="7" borderId="7" xfId="0" applyFont="1" applyFill="1" applyBorder="1"/>
    <xf numFmtId="164" fontId="15" fillId="0" borderId="7" xfId="2" applyFont="1" applyBorder="1" applyAlignment="1">
      <alignment horizontal="center"/>
    </xf>
    <xf numFmtId="164" fontId="15" fillId="7" borderId="7" xfId="2" applyFont="1" applyFill="1" applyBorder="1" applyAlignment="1">
      <alignment horizontal="center"/>
    </xf>
    <xf numFmtId="0" fontId="10" fillId="0" borderId="7" xfId="0" applyFont="1" applyBorder="1"/>
    <xf numFmtId="0" fontId="10" fillId="7" borderId="11" xfId="0" applyFont="1" applyFill="1" applyBorder="1"/>
    <xf numFmtId="165" fontId="10" fillId="7" borderId="7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2" applyFont="1" applyAlignment="1">
      <alignment horizontal="center"/>
    </xf>
    <xf numFmtId="164" fontId="15" fillId="2" borderId="7" xfId="2" applyFont="1" applyFill="1" applyBorder="1" applyAlignment="1">
      <alignment horizontal="center"/>
    </xf>
    <xf numFmtId="0" fontId="10" fillId="2" borderId="11" xfId="0" applyFont="1" applyFill="1" applyBorder="1"/>
    <xf numFmtId="0" fontId="7" fillId="2" borderId="7" xfId="0" applyFont="1" applyFill="1" applyBorder="1" applyAlignment="1">
      <alignment horizontal="center"/>
    </xf>
    <xf numFmtId="164" fontId="15" fillId="0" borderId="7" xfId="9" applyNumberFormat="1" applyFont="1" applyBorder="1" applyAlignment="1">
      <alignment horizontal="center"/>
    </xf>
    <xf numFmtId="164" fontId="15" fillId="7" borderId="7" xfId="9" applyNumberFormat="1" applyFont="1" applyFill="1" applyBorder="1" applyAlignment="1">
      <alignment horizontal="center"/>
    </xf>
    <xf numFmtId="164" fontId="15" fillId="2" borderId="7" xfId="9" applyNumberFormat="1" applyFont="1" applyFill="1" applyBorder="1" applyAlignment="1">
      <alignment horizontal="center"/>
    </xf>
    <xf numFmtId="166" fontId="16" fillId="2" borderId="7" xfId="4" applyNumberFormat="1" applyFont="1" applyFill="1" applyBorder="1" applyAlignment="1">
      <alignment horizontal="center"/>
    </xf>
    <xf numFmtId="166" fontId="16" fillId="2" borderId="7" xfId="4" applyNumberFormat="1" applyFont="1" applyFill="1" applyBorder="1"/>
    <xf numFmtId="168" fontId="17" fillId="0" borderId="7" xfId="2" applyNumberFormat="1" applyFont="1" applyBorder="1" applyAlignment="1">
      <alignment horizontal="center" vertical="center"/>
    </xf>
    <xf numFmtId="166" fontId="17" fillId="2" borderId="7" xfId="2" applyNumberFormat="1" applyFont="1" applyFill="1" applyBorder="1" applyAlignment="1">
      <alignment horizontal="center"/>
    </xf>
    <xf numFmtId="168" fontId="17" fillId="2" borderId="7" xfId="2" applyNumberFormat="1" applyFont="1" applyFill="1" applyBorder="1" applyAlignment="1">
      <alignment horizontal="center"/>
    </xf>
    <xf numFmtId="168" fontId="17" fillId="2" borderId="9" xfId="2" applyNumberFormat="1" applyFont="1" applyFill="1" applyBorder="1" applyAlignment="1">
      <alignment horizontal="center"/>
    </xf>
    <xf numFmtId="166" fontId="17" fillId="2" borderId="8" xfId="5" applyNumberFormat="1" applyFont="1" applyFill="1" applyBorder="1" applyAlignment="1">
      <alignment horizontal="center"/>
    </xf>
    <xf numFmtId="168" fontId="17" fillId="2" borderId="7" xfId="5" applyNumberFormat="1" applyFont="1" applyFill="1" applyBorder="1" applyAlignment="1">
      <alignment horizontal="center"/>
    </xf>
    <xf numFmtId="164" fontId="16" fillId="2" borderId="7" xfId="2" applyFont="1" applyFill="1" applyBorder="1"/>
    <xf numFmtId="0" fontId="14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9" fontId="7" fillId="0" borderId="7" xfId="3" applyFont="1" applyBorder="1" applyAlignment="1">
      <alignment horizontal="center" vertical="center"/>
    </xf>
    <xf numFmtId="10" fontId="7" fillId="0" borderId="7" xfId="3" applyNumberFormat="1" applyFont="1" applyBorder="1" applyAlignment="1">
      <alignment horizontal="center" vertical="center"/>
    </xf>
    <xf numFmtId="168" fontId="10" fillId="0" borderId="7" xfId="0" applyNumberFormat="1" applyFont="1" applyBorder="1" applyAlignment="1">
      <alignment horizontal="center" vertical="center"/>
    </xf>
    <xf numFmtId="167" fontId="7" fillId="0" borderId="7" xfId="3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8" fontId="10" fillId="0" borderId="2" xfId="0" applyNumberFormat="1" applyFont="1" applyBorder="1" applyAlignment="1">
      <alignment horizontal="center" vertical="center"/>
    </xf>
    <xf numFmtId="168" fontId="10" fillId="0" borderId="3" xfId="0" applyNumberFormat="1" applyFont="1" applyBorder="1" applyAlignment="1">
      <alignment horizontal="center" vertical="center"/>
    </xf>
    <xf numFmtId="168" fontId="10" fillId="0" borderId="4" xfId="0" applyNumberFormat="1" applyFont="1" applyBorder="1" applyAlignment="1">
      <alignment horizontal="center" vertical="center"/>
    </xf>
    <xf numFmtId="168" fontId="10" fillId="0" borderId="5" xfId="0" applyNumberFormat="1" applyFont="1" applyBorder="1" applyAlignment="1">
      <alignment horizontal="center" vertical="center"/>
    </xf>
    <xf numFmtId="168" fontId="10" fillId="0" borderId="6" xfId="0" applyNumberFormat="1" applyFont="1" applyBorder="1" applyAlignment="1">
      <alignment horizontal="center" vertical="center"/>
    </xf>
    <xf numFmtId="9" fontId="7" fillId="0" borderId="10" xfId="3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6" fontId="8" fillId="0" borderId="9" xfId="2" applyNumberFormat="1" applyFont="1" applyBorder="1" applyAlignment="1">
      <alignment horizontal="center" vertical="center"/>
    </xf>
    <xf numFmtId="166" fontId="8" fillId="0" borderId="8" xfId="2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166" fontId="10" fillId="0" borderId="7" xfId="2" applyNumberFormat="1" applyFont="1" applyBorder="1" applyAlignment="1">
      <alignment horizontal="center" vertical="center"/>
    </xf>
    <xf numFmtId="166" fontId="8" fillId="2" borderId="9" xfId="2" applyNumberFormat="1" applyFont="1" applyFill="1" applyBorder="1" applyAlignment="1">
      <alignment horizontal="center" vertical="center"/>
    </xf>
    <xf numFmtId="166" fontId="8" fillId="2" borderId="8" xfId="2" applyNumberFormat="1" applyFont="1" applyFill="1" applyBorder="1" applyAlignment="1">
      <alignment horizontal="center" vertical="center"/>
    </xf>
    <xf numFmtId="166" fontId="10" fillId="0" borderId="9" xfId="2" applyNumberFormat="1" applyFont="1" applyBorder="1" applyAlignment="1">
      <alignment horizontal="center" vertical="center"/>
    </xf>
    <xf numFmtId="166" fontId="10" fillId="0" borderId="8" xfId="2" applyNumberFormat="1" applyFont="1" applyBorder="1" applyAlignment="1">
      <alignment horizontal="center" vertical="center"/>
    </xf>
    <xf numFmtId="166" fontId="10" fillId="2" borderId="9" xfId="2" applyNumberFormat="1" applyFont="1" applyFill="1" applyBorder="1" applyAlignment="1">
      <alignment horizontal="center" vertical="center"/>
    </xf>
    <xf numFmtId="166" fontId="10" fillId="2" borderId="8" xfId="2" applyNumberFormat="1" applyFont="1" applyFill="1" applyBorder="1" applyAlignment="1">
      <alignment horizontal="center" vertical="center"/>
    </xf>
    <xf numFmtId="164" fontId="8" fillId="0" borderId="7" xfId="2" applyFont="1" applyBorder="1" applyAlignment="1">
      <alignment horizontal="center" vertical="center"/>
    </xf>
    <xf numFmtId="168" fontId="8" fillId="2" borderId="9" xfId="2" applyNumberFormat="1" applyFont="1" applyFill="1" applyBorder="1" applyAlignment="1">
      <alignment horizontal="center" vertical="center"/>
    </xf>
    <xf numFmtId="168" fontId="8" fillId="2" borderId="8" xfId="2" applyNumberFormat="1" applyFont="1" applyFill="1" applyBorder="1" applyAlignment="1">
      <alignment horizontal="center" vertical="center"/>
    </xf>
    <xf numFmtId="166" fontId="8" fillId="0" borderId="9" xfId="2" applyNumberFormat="1" applyFont="1" applyBorder="1" applyAlignment="1">
      <alignment horizontal="center" vertical="center" wrapText="1"/>
    </xf>
    <xf numFmtId="166" fontId="8" fillId="0" borderId="8" xfId="2" applyNumberFormat="1" applyFont="1" applyBorder="1" applyAlignment="1">
      <alignment horizontal="center" vertical="center" wrapText="1"/>
    </xf>
  </cellXfs>
  <cellStyles count="11">
    <cellStyle name="60% - Ênfase1 2" xfId="8" xr:uid="{00000000-0005-0000-0000-000000000000}"/>
    <cellStyle name="Ênfase1" xfId="4" builtinId="29"/>
    <cellStyle name="Ênfase2" xfId="5" builtinId="33"/>
    <cellStyle name="Moeda" xfId="2" builtinId="4"/>
    <cellStyle name="Moeda 2" xfId="6" xr:uid="{00000000-0005-0000-0000-000005000000}"/>
    <cellStyle name="Moeda 3" xfId="9" xr:uid="{228FB255-C275-4A96-81F6-920E04643241}"/>
    <cellStyle name="Normal" xfId="0" builtinId="0"/>
    <cellStyle name="Porcentagem" xfId="3" builtinId="5"/>
    <cellStyle name="Vírgula" xfId="1" builtinId="3"/>
    <cellStyle name="Vírgula 2" xfId="7" xr:uid="{00000000-0005-0000-0000-00000C000000}"/>
    <cellStyle name="Vírgula 2 2" xfId="10" xr:uid="{8265EF9E-38AB-478A-AF37-5F68F09F0DA0}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8731</xdr:rowOff>
    </xdr:from>
    <xdr:to>
      <xdr:col>5</xdr:col>
      <xdr:colOff>960575</xdr:colOff>
      <xdr:row>5</xdr:row>
      <xdr:rowOff>31173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86DC810-47C6-4C62-B5F6-5505300B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731"/>
          <a:ext cx="7568544" cy="9511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15874</xdr:colOff>
      <xdr:row>0</xdr:row>
      <xdr:rowOff>0</xdr:rowOff>
    </xdr:from>
    <xdr:to>
      <xdr:col>17</xdr:col>
      <xdr:colOff>665299</xdr:colOff>
      <xdr:row>5</xdr:row>
      <xdr:rowOff>16092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254D610-D757-4154-9957-1BA0712B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4" y="0"/>
          <a:ext cx="7570925" cy="95271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7936</xdr:colOff>
      <xdr:row>0</xdr:row>
      <xdr:rowOff>0</xdr:rowOff>
    </xdr:from>
    <xdr:to>
      <xdr:col>5</xdr:col>
      <xdr:colOff>408123</xdr:colOff>
      <xdr:row>5</xdr:row>
      <xdr:rowOff>39904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33E50F-B5D3-4999-A6E2-F9C661B5B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6" y="0"/>
          <a:ext cx="7574100" cy="9328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2325687</xdr:colOff>
      <xdr:row>0</xdr:row>
      <xdr:rowOff>0</xdr:rowOff>
    </xdr:from>
    <xdr:to>
      <xdr:col>6</xdr:col>
      <xdr:colOff>368437</xdr:colOff>
      <xdr:row>5</xdr:row>
      <xdr:rowOff>217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902215F-6076-BEF7-F129-FC2CF2C9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0" y="0"/>
          <a:ext cx="7570925" cy="952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F300"/>
  <sheetViews>
    <sheetView showGridLines="0" zoomScale="80" zoomScaleNormal="80" zoomScalePageLayoutView="84" workbookViewId="0">
      <pane ySplit="7" topLeftCell="A8" activePane="bottomLeft" state="frozen"/>
      <selection pane="bottomLeft" activeCell="A7" sqref="A7"/>
    </sheetView>
  </sheetViews>
  <sheetFormatPr defaultColWidth="8.54296875" defaultRowHeight="14.5" x14ac:dyDescent="0.35"/>
  <cols>
    <col min="1" max="1" width="8.54296875" customWidth="1"/>
    <col min="2" max="2" width="32.54296875" customWidth="1"/>
    <col min="3" max="3" width="19.1796875" bestFit="1" customWidth="1"/>
    <col min="4" max="4" width="16.54296875" customWidth="1"/>
    <col min="5" max="5" width="17.7265625" bestFit="1" customWidth="1"/>
    <col min="6" max="7" width="18" bestFit="1" customWidth="1"/>
    <col min="8" max="10" width="16.54296875" customWidth="1"/>
    <col min="11" max="11" width="18" bestFit="1" customWidth="1"/>
    <col min="12" max="12" width="16.54296875" customWidth="1"/>
    <col min="13" max="13" width="19.453125" bestFit="1" customWidth="1"/>
    <col min="14" max="14" width="10.54296875" bestFit="1" customWidth="1"/>
    <col min="15" max="15" width="14.1796875" bestFit="1" customWidth="1"/>
    <col min="16" max="16" width="12.90625" bestFit="1" customWidth="1"/>
    <col min="17" max="17" width="11" bestFit="1" customWidth="1"/>
  </cols>
  <sheetData>
    <row r="2" spans="2:32" ht="15" customHeight="1" x14ac:dyDescent="0.35"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spans="2:32" ht="15" customHeight="1" x14ac:dyDescent="0.35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spans="2:32" x14ac:dyDescent="0.35"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</row>
    <row r="5" spans="2:32" ht="15" customHeight="1" x14ac:dyDescent="0.35">
      <c r="B5" s="75" t="s">
        <v>380</v>
      </c>
      <c r="C5" s="76"/>
      <c r="D5" s="76"/>
      <c r="E5" s="76"/>
      <c r="F5" s="76"/>
      <c r="G5" s="76"/>
      <c r="H5" s="76"/>
      <c r="I5" s="76"/>
      <c r="J5" s="76"/>
      <c r="K5" s="76"/>
      <c r="L5" s="76"/>
      <c r="M5" s="77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</row>
    <row r="6" spans="2:32" ht="15" customHeight="1" x14ac:dyDescent="0.35">
      <c r="B6" s="78"/>
      <c r="C6" s="79"/>
      <c r="D6" s="79"/>
      <c r="E6" s="79"/>
      <c r="F6" s="79"/>
      <c r="G6" s="79"/>
      <c r="H6" s="79"/>
      <c r="I6" s="79"/>
      <c r="J6" s="79"/>
      <c r="K6" s="79"/>
      <c r="L6" s="79"/>
      <c r="M6" s="80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</row>
    <row r="7" spans="2:32" ht="15" customHeight="1" x14ac:dyDescent="0.35">
      <c r="B7" s="31" t="s">
        <v>0</v>
      </c>
      <c r="C7" s="32" t="s">
        <v>1</v>
      </c>
      <c r="D7" s="32" t="s">
        <v>2</v>
      </c>
      <c r="E7" s="32" t="s">
        <v>3</v>
      </c>
      <c r="F7" s="32" t="s">
        <v>4</v>
      </c>
      <c r="G7" s="32" t="s">
        <v>5</v>
      </c>
      <c r="H7" s="31" t="s">
        <v>6</v>
      </c>
      <c r="I7" s="32" t="s">
        <v>7</v>
      </c>
      <c r="J7" s="32" t="s">
        <v>8</v>
      </c>
      <c r="K7" s="32" t="s">
        <v>9</v>
      </c>
      <c r="L7" s="32" t="s">
        <v>10</v>
      </c>
      <c r="M7" s="32" t="s">
        <v>11</v>
      </c>
    </row>
    <row r="8" spans="2:32" ht="15" customHeight="1" x14ac:dyDescent="0.35">
      <c r="B8" s="60" t="s">
        <v>12</v>
      </c>
      <c r="C8" s="47">
        <v>12691.68</v>
      </c>
      <c r="D8" s="47">
        <v>0</v>
      </c>
      <c r="E8" s="47">
        <v>0</v>
      </c>
      <c r="F8" s="47">
        <v>0</v>
      </c>
      <c r="G8" s="47">
        <v>11802.24</v>
      </c>
      <c r="H8" s="47">
        <v>0</v>
      </c>
      <c r="I8" s="47">
        <v>0</v>
      </c>
      <c r="J8" s="47">
        <v>0</v>
      </c>
      <c r="K8" s="48">
        <f t="shared" ref="K8:K9" si="0">(C8+D8+E8)*6%</f>
        <v>761.50080000000003</v>
      </c>
      <c r="L8" s="47">
        <v>0</v>
      </c>
      <c r="M8" s="48">
        <f t="shared" ref="M8:M71" si="1">C8+D8+E8+F8+G8+H8+J8+L8-I8</f>
        <v>24493.919999999998</v>
      </c>
      <c r="N8" s="6"/>
    </row>
    <row r="9" spans="2:32" ht="15" customHeight="1" x14ac:dyDescent="0.35">
      <c r="B9" s="60" t="s">
        <v>13</v>
      </c>
      <c r="C9" s="47">
        <v>27461.37</v>
      </c>
      <c r="D9" s="47">
        <v>0</v>
      </c>
      <c r="E9" s="47">
        <v>0</v>
      </c>
      <c r="F9" s="47">
        <v>0</v>
      </c>
      <c r="G9" s="47">
        <v>11802.24</v>
      </c>
      <c r="H9" s="47">
        <v>0</v>
      </c>
      <c r="I9" s="47">
        <v>0</v>
      </c>
      <c r="J9" s="47">
        <v>0</v>
      </c>
      <c r="K9" s="48">
        <f t="shared" si="0"/>
        <v>1647.6822</v>
      </c>
      <c r="L9" s="47">
        <v>0</v>
      </c>
      <c r="M9" s="48">
        <f t="shared" si="1"/>
        <v>39263.61</v>
      </c>
      <c r="N9" s="4"/>
      <c r="O9" s="42"/>
      <c r="P9" s="4"/>
      <c r="Q9" s="46"/>
    </row>
    <row r="10" spans="2:32" x14ac:dyDescent="0.35">
      <c r="B10" s="60" t="s">
        <v>14</v>
      </c>
      <c r="C10" s="47">
        <f>114027.58-9904.5-5281.24-29071.04</f>
        <v>69770.799999999988</v>
      </c>
      <c r="D10" s="47">
        <v>0</v>
      </c>
      <c r="E10" s="47">
        <v>0</v>
      </c>
      <c r="F10" s="47">
        <v>0</v>
      </c>
      <c r="G10" s="47">
        <v>0</v>
      </c>
      <c r="H10" s="48">
        <v>0</v>
      </c>
      <c r="I10" s="48">
        <v>0</v>
      </c>
      <c r="J10" s="49">
        <v>0</v>
      </c>
      <c r="K10" s="48">
        <f>(C10+D10+E10)*6%</f>
        <v>4186.2479999999996</v>
      </c>
      <c r="L10" s="48">
        <v>0</v>
      </c>
      <c r="M10" s="48">
        <f t="shared" si="1"/>
        <v>69770.799999999988</v>
      </c>
      <c r="O10" s="42"/>
      <c r="P10" s="42"/>
      <c r="Q10" s="42"/>
    </row>
    <row r="11" spans="2:32" x14ac:dyDescent="0.35">
      <c r="B11" s="60" t="s">
        <v>15</v>
      </c>
      <c r="C11" s="47">
        <f>262539.39-97971.06-19679.85</f>
        <v>144888.48000000001</v>
      </c>
      <c r="D11" s="47">
        <v>0</v>
      </c>
      <c r="E11" s="47">
        <v>0</v>
      </c>
      <c r="F11" s="47">
        <v>0</v>
      </c>
      <c r="G11" s="47">
        <v>29268.39</v>
      </c>
      <c r="H11" s="48">
        <v>0</v>
      </c>
      <c r="I11" s="48">
        <f>145.51+145.51+695.47+695.47+7817.55+695.49</f>
        <v>10195</v>
      </c>
      <c r="J11" s="49">
        <v>0</v>
      </c>
      <c r="K11" s="48">
        <f t="shared" ref="K11:K74" si="2">(C11+D11+E11)*6%</f>
        <v>8693.3088000000007</v>
      </c>
      <c r="L11" s="48">
        <f>1051.25+4794.07+1519.59</f>
        <v>7364.91</v>
      </c>
      <c r="M11" s="48">
        <f t="shared" si="1"/>
        <v>171326.78</v>
      </c>
      <c r="O11" s="43"/>
      <c r="P11" s="4"/>
      <c r="Q11" s="46"/>
    </row>
    <row r="12" spans="2:32" x14ac:dyDescent="0.35">
      <c r="B12" s="60" t="s">
        <v>121</v>
      </c>
      <c r="C12" s="47">
        <f>14443.96-9994.94</f>
        <v>4449.0199999999986</v>
      </c>
      <c r="D12" s="47">
        <v>0</v>
      </c>
      <c r="E12" s="47">
        <v>0</v>
      </c>
      <c r="F12" s="47">
        <v>3383.25</v>
      </c>
      <c r="G12" s="47">
        <v>165.26</v>
      </c>
      <c r="H12" s="48">
        <v>0</v>
      </c>
      <c r="I12" s="48">
        <v>0</v>
      </c>
      <c r="J12" s="49">
        <v>0</v>
      </c>
      <c r="K12" s="48">
        <f t="shared" si="2"/>
        <v>266.94119999999992</v>
      </c>
      <c r="L12" s="48">
        <v>0</v>
      </c>
      <c r="M12" s="48">
        <f t="shared" si="1"/>
        <v>7997.5299999999988</v>
      </c>
      <c r="O12" s="43"/>
      <c r="P12" s="4"/>
    </row>
    <row r="13" spans="2:32" x14ac:dyDescent="0.35">
      <c r="B13" s="60" t="s">
        <v>122</v>
      </c>
      <c r="C13" s="47">
        <v>1436.57</v>
      </c>
      <c r="D13" s="47">
        <v>0</v>
      </c>
      <c r="E13" s="47">
        <v>0</v>
      </c>
      <c r="F13" s="47">
        <v>419.69</v>
      </c>
      <c r="G13" s="47">
        <v>29.97</v>
      </c>
      <c r="H13" s="48">
        <v>0</v>
      </c>
      <c r="I13" s="48">
        <v>0</v>
      </c>
      <c r="J13" s="49">
        <v>0</v>
      </c>
      <c r="K13" s="48">
        <f t="shared" si="2"/>
        <v>86.194199999999995</v>
      </c>
      <c r="L13" s="48">
        <v>0</v>
      </c>
      <c r="M13" s="48">
        <f t="shared" si="1"/>
        <v>1886.23</v>
      </c>
      <c r="O13" s="4"/>
      <c r="P13" s="4"/>
    </row>
    <row r="14" spans="2:32" x14ac:dyDescent="0.35">
      <c r="B14" s="60" t="s">
        <v>123</v>
      </c>
      <c r="C14" s="47">
        <v>1036.03</v>
      </c>
      <c r="D14" s="47">
        <v>0</v>
      </c>
      <c r="E14" s="47">
        <v>0</v>
      </c>
      <c r="F14" s="47">
        <v>269.85000000000002</v>
      </c>
      <c r="G14" s="47">
        <v>19.309999999999999</v>
      </c>
      <c r="H14" s="48">
        <v>0</v>
      </c>
      <c r="I14" s="48">
        <v>0</v>
      </c>
      <c r="J14" s="49">
        <v>0</v>
      </c>
      <c r="K14" s="48">
        <f t="shared" si="2"/>
        <v>62.161799999999999</v>
      </c>
      <c r="L14" s="48">
        <v>0</v>
      </c>
      <c r="M14" s="48">
        <f t="shared" si="1"/>
        <v>1325.19</v>
      </c>
      <c r="O14" s="4"/>
      <c r="P14" s="4"/>
    </row>
    <row r="15" spans="2:32" x14ac:dyDescent="0.35">
      <c r="B15" s="60" t="s">
        <v>124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8">
        <v>0</v>
      </c>
      <c r="I15" s="48">
        <v>0</v>
      </c>
      <c r="J15" s="49">
        <v>0</v>
      </c>
      <c r="K15" s="48">
        <f t="shared" si="2"/>
        <v>0</v>
      </c>
      <c r="L15" s="48">
        <v>0</v>
      </c>
      <c r="M15" s="48">
        <f t="shared" si="1"/>
        <v>0</v>
      </c>
      <c r="O15" s="4"/>
    </row>
    <row r="16" spans="2:32" x14ac:dyDescent="0.35">
      <c r="B16" s="60" t="s">
        <v>125</v>
      </c>
      <c r="C16" s="47">
        <v>0</v>
      </c>
      <c r="D16" s="47">
        <v>0</v>
      </c>
      <c r="E16" s="47">
        <v>0</v>
      </c>
      <c r="F16" s="47">
        <v>0</v>
      </c>
      <c r="G16" s="47">
        <v>0</v>
      </c>
      <c r="H16" s="48">
        <v>0</v>
      </c>
      <c r="I16" s="48">
        <v>0</v>
      </c>
      <c r="J16" s="49">
        <v>0</v>
      </c>
      <c r="K16" s="48">
        <f t="shared" si="2"/>
        <v>0</v>
      </c>
      <c r="L16" s="48">
        <v>0</v>
      </c>
      <c r="M16" s="48">
        <f t="shared" si="1"/>
        <v>0</v>
      </c>
      <c r="O16" s="4"/>
    </row>
    <row r="17" spans="2:15" x14ac:dyDescent="0.35">
      <c r="B17" s="60" t="s">
        <v>333</v>
      </c>
      <c r="C17" s="47">
        <v>1666.77</v>
      </c>
      <c r="D17" s="47">
        <v>0</v>
      </c>
      <c r="E17" s="47">
        <v>0</v>
      </c>
      <c r="F17" s="47">
        <v>1526.98</v>
      </c>
      <c r="G17" s="47">
        <v>104.47</v>
      </c>
      <c r="H17" s="48">
        <v>0</v>
      </c>
      <c r="I17" s="48">
        <v>0</v>
      </c>
      <c r="J17" s="49">
        <v>0</v>
      </c>
      <c r="K17" s="48">
        <f t="shared" si="2"/>
        <v>100.00619999999999</v>
      </c>
      <c r="L17" s="48">
        <v>209.11</v>
      </c>
      <c r="M17" s="48">
        <f t="shared" si="1"/>
        <v>3507.33</v>
      </c>
      <c r="O17" s="4"/>
    </row>
    <row r="18" spans="2:15" x14ac:dyDescent="0.35">
      <c r="B18" s="60" t="s">
        <v>322</v>
      </c>
      <c r="C18" s="47">
        <v>1342.42</v>
      </c>
      <c r="D18" s="47">
        <v>0</v>
      </c>
      <c r="E18" s="47">
        <v>0</v>
      </c>
      <c r="F18" s="47">
        <v>1574.98</v>
      </c>
      <c r="G18" s="47">
        <v>104.47</v>
      </c>
      <c r="H18" s="48">
        <v>0</v>
      </c>
      <c r="I18" s="48">
        <v>0</v>
      </c>
      <c r="J18" s="49">
        <v>0</v>
      </c>
      <c r="K18" s="48">
        <f t="shared" si="2"/>
        <v>80.545200000000008</v>
      </c>
      <c r="L18" s="48">
        <v>0</v>
      </c>
      <c r="M18" s="48">
        <f t="shared" si="1"/>
        <v>3021.87</v>
      </c>
    </row>
    <row r="19" spans="2:15" x14ac:dyDescent="0.35">
      <c r="B19" s="60" t="s">
        <v>322</v>
      </c>
      <c r="C19" s="47">
        <v>1342.42</v>
      </c>
      <c r="D19" s="47">
        <v>0</v>
      </c>
      <c r="E19" s="47">
        <v>0</v>
      </c>
      <c r="F19" s="47">
        <v>1574.98</v>
      </c>
      <c r="G19" s="47">
        <v>104.47</v>
      </c>
      <c r="H19" s="48">
        <v>0</v>
      </c>
      <c r="I19" s="48">
        <v>0</v>
      </c>
      <c r="J19" s="49">
        <v>0</v>
      </c>
      <c r="K19" s="48">
        <f t="shared" si="2"/>
        <v>80.545200000000008</v>
      </c>
      <c r="L19" s="48">
        <v>0</v>
      </c>
      <c r="M19" s="48">
        <f t="shared" si="1"/>
        <v>3021.87</v>
      </c>
    </row>
    <row r="20" spans="2:15" x14ac:dyDescent="0.35">
      <c r="B20" s="60" t="s">
        <v>126</v>
      </c>
      <c r="C20" s="48">
        <f>999.66</f>
        <v>999.66</v>
      </c>
      <c r="D20" s="48">
        <v>0</v>
      </c>
      <c r="E20" s="48">
        <v>0</v>
      </c>
      <c r="F20" s="48">
        <v>2062.85</v>
      </c>
      <c r="G20" s="47">
        <v>134.79</v>
      </c>
      <c r="H20" s="48">
        <v>0</v>
      </c>
      <c r="I20" s="48">
        <v>0</v>
      </c>
      <c r="J20" s="49">
        <v>0</v>
      </c>
      <c r="K20" s="48">
        <f t="shared" si="2"/>
        <v>59.979599999999998</v>
      </c>
      <c r="L20" s="48">
        <v>0</v>
      </c>
      <c r="M20" s="48">
        <f t="shared" si="1"/>
        <v>3197.2999999999997</v>
      </c>
    </row>
    <row r="21" spans="2:15" x14ac:dyDescent="0.35">
      <c r="B21" s="60" t="s">
        <v>16</v>
      </c>
      <c r="C21" s="48">
        <f>3428.34-2376.65</f>
        <v>1051.69</v>
      </c>
      <c r="D21" s="48"/>
      <c r="E21" s="48"/>
      <c r="F21" s="48">
        <v>2184.84</v>
      </c>
      <c r="G21" s="47">
        <v>130.1</v>
      </c>
      <c r="H21" s="48"/>
      <c r="I21" s="48"/>
      <c r="J21" s="49"/>
      <c r="K21" s="48">
        <f t="shared" si="2"/>
        <v>63.101399999999998</v>
      </c>
      <c r="L21" s="48"/>
      <c r="M21" s="48">
        <f t="shared" si="1"/>
        <v>3366.63</v>
      </c>
    </row>
    <row r="22" spans="2:15" x14ac:dyDescent="0.35">
      <c r="B22" s="60" t="s">
        <v>17</v>
      </c>
      <c r="C22" s="48">
        <v>0</v>
      </c>
      <c r="D22" s="48">
        <v>0</v>
      </c>
      <c r="E22" s="48">
        <v>0</v>
      </c>
      <c r="F22" s="48">
        <v>0</v>
      </c>
      <c r="G22" s="47">
        <v>0</v>
      </c>
      <c r="H22" s="48">
        <v>0</v>
      </c>
      <c r="I22" s="48">
        <v>0</v>
      </c>
      <c r="J22" s="49">
        <v>0</v>
      </c>
      <c r="K22" s="48">
        <f t="shared" si="2"/>
        <v>0</v>
      </c>
      <c r="L22" s="48">
        <v>0</v>
      </c>
      <c r="M22" s="48">
        <f t="shared" si="1"/>
        <v>0</v>
      </c>
    </row>
    <row r="23" spans="2:15" x14ac:dyDescent="0.35">
      <c r="B23" s="60" t="s">
        <v>127</v>
      </c>
      <c r="C23" s="48">
        <v>1754.25</v>
      </c>
      <c r="D23" s="48">
        <v>0</v>
      </c>
      <c r="E23" s="48">
        <v>0</v>
      </c>
      <c r="F23" s="48">
        <v>424.49</v>
      </c>
      <c r="G23" s="47">
        <v>0</v>
      </c>
      <c r="H23" s="48">
        <v>0</v>
      </c>
      <c r="I23" s="48">
        <v>0</v>
      </c>
      <c r="J23" s="49">
        <v>0</v>
      </c>
      <c r="K23" s="48">
        <f t="shared" si="2"/>
        <v>105.255</v>
      </c>
      <c r="L23" s="48">
        <v>0</v>
      </c>
      <c r="M23" s="48">
        <f t="shared" si="1"/>
        <v>2178.7399999999998</v>
      </c>
    </row>
    <row r="24" spans="2:15" x14ac:dyDescent="0.35">
      <c r="B24" s="60" t="s">
        <v>128</v>
      </c>
      <c r="C24" s="48">
        <f>6275.12-2523.47-467.82-760.25</f>
        <v>2523.58</v>
      </c>
      <c r="D24" s="48">
        <v>0</v>
      </c>
      <c r="E24" s="48">
        <v>0</v>
      </c>
      <c r="F24" s="48">
        <v>3018.63</v>
      </c>
      <c r="G24" s="47">
        <f>81.57+78.84</f>
        <v>160.41</v>
      </c>
      <c r="H24" s="48">
        <v>0</v>
      </c>
      <c r="I24" s="48">
        <v>0</v>
      </c>
      <c r="J24" s="49">
        <v>0</v>
      </c>
      <c r="K24" s="48">
        <f t="shared" si="2"/>
        <v>151.41479999999999</v>
      </c>
      <c r="L24" s="48">
        <v>0</v>
      </c>
      <c r="M24" s="48">
        <f t="shared" si="1"/>
        <v>5702.62</v>
      </c>
    </row>
    <row r="25" spans="2:15" x14ac:dyDescent="0.35">
      <c r="B25" s="60" t="s">
        <v>129</v>
      </c>
      <c r="C25" s="48">
        <v>0</v>
      </c>
      <c r="D25" s="48">
        <v>0</v>
      </c>
      <c r="E25" s="48">
        <v>0</v>
      </c>
      <c r="F25" s="48">
        <v>0</v>
      </c>
      <c r="G25" s="47">
        <v>0</v>
      </c>
      <c r="H25" s="48">
        <v>0</v>
      </c>
      <c r="I25" s="48">
        <v>0</v>
      </c>
      <c r="J25" s="49">
        <v>0</v>
      </c>
      <c r="K25" s="48">
        <f t="shared" si="2"/>
        <v>0</v>
      </c>
      <c r="L25" s="48">
        <v>0</v>
      </c>
      <c r="M25" s="48">
        <f t="shared" si="1"/>
        <v>0</v>
      </c>
    </row>
    <row r="26" spans="2:15" x14ac:dyDescent="0.35">
      <c r="B26" s="60" t="s">
        <v>130</v>
      </c>
      <c r="C26" s="48">
        <v>800.24</v>
      </c>
      <c r="D26" s="48">
        <v>0</v>
      </c>
      <c r="E26" s="48">
        <v>0</v>
      </c>
      <c r="F26" s="48">
        <v>666.47</v>
      </c>
      <c r="G26" s="47">
        <v>21.07</v>
      </c>
      <c r="H26" s="48">
        <v>0</v>
      </c>
      <c r="I26" s="48">
        <v>0</v>
      </c>
      <c r="J26" s="49">
        <v>0</v>
      </c>
      <c r="K26" s="48">
        <f t="shared" si="2"/>
        <v>48.014400000000002</v>
      </c>
      <c r="L26" s="48">
        <v>0</v>
      </c>
      <c r="M26" s="48">
        <f t="shared" si="1"/>
        <v>1487.78</v>
      </c>
    </row>
    <row r="27" spans="2:15" x14ac:dyDescent="0.35">
      <c r="B27" s="60" t="s">
        <v>130</v>
      </c>
      <c r="C27" s="48">
        <v>0</v>
      </c>
      <c r="D27" s="48">
        <v>0</v>
      </c>
      <c r="E27" s="48">
        <v>900</v>
      </c>
      <c r="F27" s="48">
        <v>0</v>
      </c>
      <c r="G27" s="47">
        <v>0</v>
      </c>
      <c r="H27" s="48">
        <v>0</v>
      </c>
      <c r="I27" s="48">
        <v>0</v>
      </c>
      <c r="J27" s="49">
        <v>0</v>
      </c>
      <c r="K27" s="48">
        <f t="shared" si="2"/>
        <v>54</v>
      </c>
      <c r="L27" s="48">
        <v>0</v>
      </c>
      <c r="M27" s="48">
        <f t="shared" si="1"/>
        <v>900</v>
      </c>
    </row>
    <row r="28" spans="2:15" x14ac:dyDescent="0.35">
      <c r="B28" s="60" t="s">
        <v>131</v>
      </c>
      <c r="C28" s="48">
        <f>1232.86-378.73</f>
        <v>854.12999999999988</v>
      </c>
      <c r="D28" s="48">
        <v>0</v>
      </c>
      <c r="E28" s="48">
        <v>0</v>
      </c>
      <c r="F28" s="48">
        <v>435.04</v>
      </c>
      <c r="G28" s="47">
        <v>13.76</v>
      </c>
      <c r="H28" s="48">
        <v>0</v>
      </c>
      <c r="I28" s="48">
        <v>0</v>
      </c>
      <c r="J28" s="49">
        <v>0</v>
      </c>
      <c r="K28" s="48">
        <f t="shared" si="2"/>
        <v>51.247799999999991</v>
      </c>
      <c r="L28" s="48">
        <v>0</v>
      </c>
      <c r="M28" s="48">
        <f t="shared" si="1"/>
        <v>1302.9299999999998</v>
      </c>
    </row>
    <row r="29" spans="2:15" x14ac:dyDescent="0.35">
      <c r="B29" s="60" t="s">
        <v>18</v>
      </c>
      <c r="C29" s="48">
        <f>562.54-89.91</f>
        <v>472.63</v>
      </c>
      <c r="D29" s="48"/>
      <c r="E29" s="48">
        <v>0</v>
      </c>
      <c r="F29" s="48">
        <v>701.03</v>
      </c>
      <c r="G29" s="47">
        <v>59.78</v>
      </c>
      <c r="H29" s="48"/>
      <c r="I29" s="48"/>
      <c r="J29" s="49"/>
      <c r="K29" s="48">
        <f t="shared" si="2"/>
        <v>28.357799999999997</v>
      </c>
      <c r="L29" s="48">
        <v>0</v>
      </c>
      <c r="M29" s="48">
        <f t="shared" si="1"/>
        <v>1233.4399999999998</v>
      </c>
    </row>
    <row r="30" spans="2:15" x14ac:dyDescent="0.35">
      <c r="B30" s="60" t="s">
        <v>347</v>
      </c>
      <c r="C30" s="48">
        <v>594.74</v>
      </c>
      <c r="D30" s="48">
        <v>0</v>
      </c>
      <c r="E30" s="48">
        <v>0</v>
      </c>
      <c r="F30" s="48">
        <v>1189.92</v>
      </c>
      <c r="G30" s="47">
        <v>12.77</v>
      </c>
      <c r="H30" s="48">
        <v>0</v>
      </c>
      <c r="I30" s="48">
        <v>0</v>
      </c>
      <c r="J30" s="49">
        <v>0</v>
      </c>
      <c r="K30" s="48">
        <f t="shared" si="2"/>
        <v>35.684399999999997</v>
      </c>
      <c r="L30" s="48">
        <v>0</v>
      </c>
      <c r="M30" s="48">
        <f t="shared" si="1"/>
        <v>1797.43</v>
      </c>
    </row>
    <row r="31" spans="2:15" x14ac:dyDescent="0.35">
      <c r="B31" s="60" t="s">
        <v>132</v>
      </c>
      <c r="C31" s="48">
        <f>2285.89</f>
        <v>2285.89</v>
      </c>
      <c r="D31" s="48">
        <v>0</v>
      </c>
      <c r="E31" s="48">
        <v>0</v>
      </c>
      <c r="F31" s="48">
        <v>2511.34</v>
      </c>
      <c r="G31" s="47">
        <v>147.84</v>
      </c>
      <c r="H31" s="48">
        <v>0</v>
      </c>
      <c r="I31" s="48">
        <v>0</v>
      </c>
      <c r="J31" s="49">
        <v>0</v>
      </c>
      <c r="K31" s="48">
        <f t="shared" si="2"/>
        <v>137.15339999999998</v>
      </c>
      <c r="L31" s="48">
        <v>0</v>
      </c>
      <c r="M31" s="48">
        <f t="shared" si="1"/>
        <v>4945.07</v>
      </c>
    </row>
    <row r="32" spans="2:15" x14ac:dyDescent="0.35">
      <c r="B32" s="60" t="s">
        <v>133</v>
      </c>
      <c r="C32" s="48">
        <f>2260.34</f>
        <v>2260.34</v>
      </c>
      <c r="D32" s="48">
        <v>0</v>
      </c>
      <c r="E32" s="48">
        <v>0</v>
      </c>
      <c r="F32" s="48">
        <v>1657.58</v>
      </c>
      <c r="G32" s="47">
        <v>87.48</v>
      </c>
      <c r="H32" s="48">
        <v>0</v>
      </c>
      <c r="I32" s="48">
        <v>0</v>
      </c>
      <c r="J32" s="49">
        <v>0</v>
      </c>
      <c r="K32" s="48">
        <f t="shared" si="2"/>
        <v>135.62040000000002</v>
      </c>
      <c r="L32" s="48">
        <v>0</v>
      </c>
      <c r="M32" s="48">
        <f t="shared" si="1"/>
        <v>4005.4</v>
      </c>
    </row>
    <row r="33" spans="2:13" x14ac:dyDescent="0.35">
      <c r="B33" s="60" t="s">
        <v>134</v>
      </c>
      <c r="C33" s="48">
        <f>2322.36</f>
        <v>2322.36</v>
      </c>
      <c r="D33" s="48">
        <v>0</v>
      </c>
      <c r="E33" s="48">
        <v>0</v>
      </c>
      <c r="F33" s="48">
        <v>1575.95</v>
      </c>
      <c r="G33" s="47">
        <v>83.54</v>
      </c>
      <c r="H33" s="48">
        <v>0</v>
      </c>
      <c r="I33" s="48">
        <v>0</v>
      </c>
      <c r="J33" s="49">
        <v>0</v>
      </c>
      <c r="K33" s="48">
        <f t="shared" si="2"/>
        <v>139.3416</v>
      </c>
      <c r="L33" s="48">
        <v>0</v>
      </c>
      <c r="M33" s="48">
        <f t="shared" si="1"/>
        <v>3981.8500000000004</v>
      </c>
    </row>
    <row r="34" spans="2:13" x14ac:dyDescent="0.35">
      <c r="B34" s="60" t="s">
        <v>19</v>
      </c>
      <c r="C34" s="48">
        <v>2201.65</v>
      </c>
      <c r="D34" s="48">
        <v>0</v>
      </c>
      <c r="E34" s="48">
        <v>0</v>
      </c>
      <c r="F34" s="48">
        <v>2915.68</v>
      </c>
      <c r="G34" s="47">
        <v>147.84</v>
      </c>
      <c r="H34" s="48">
        <v>0</v>
      </c>
      <c r="I34" s="48">
        <v>0</v>
      </c>
      <c r="J34" s="49">
        <v>0</v>
      </c>
      <c r="K34" s="48">
        <f t="shared" si="2"/>
        <v>132.09899999999999</v>
      </c>
      <c r="L34" s="48">
        <v>0</v>
      </c>
      <c r="M34" s="48">
        <f t="shared" si="1"/>
        <v>5265.17</v>
      </c>
    </row>
    <row r="35" spans="2:13" x14ac:dyDescent="0.35">
      <c r="B35" s="60" t="s">
        <v>135</v>
      </c>
      <c r="C35" s="48">
        <v>1147.54</v>
      </c>
      <c r="D35" s="48">
        <v>0</v>
      </c>
      <c r="E35" s="48">
        <v>0</v>
      </c>
      <c r="F35" s="48">
        <v>1067.93</v>
      </c>
      <c r="G35" s="47">
        <v>63.27</v>
      </c>
      <c r="H35" s="48">
        <v>0</v>
      </c>
      <c r="I35" s="48">
        <v>0</v>
      </c>
      <c r="J35" s="49">
        <v>0</v>
      </c>
      <c r="K35" s="48">
        <f t="shared" si="2"/>
        <v>68.852399999999989</v>
      </c>
      <c r="L35" s="48">
        <v>0</v>
      </c>
      <c r="M35" s="48">
        <f t="shared" si="1"/>
        <v>2278.7400000000002</v>
      </c>
    </row>
    <row r="36" spans="2:13" x14ac:dyDescent="0.35">
      <c r="B36" s="60" t="s">
        <v>20</v>
      </c>
      <c r="C36" s="48">
        <f>1825.86-156.69</f>
        <v>1669.1699999999998</v>
      </c>
      <c r="D36" s="48">
        <v>0</v>
      </c>
      <c r="E36" s="48">
        <v>0</v>
      </c>
      <c r="F36" s="48">
        <v>1162.03</v>
      </c>
      <c r="G36" s="47">
        <v>68.8</v>
      </c>
      <c r="H36" s="48">
        <v>0</v>
      </c>
      <c r="I36" s="48">
        <v>0</v>
      </c>
      <c r="J36" s="49">
        <v>0</v>
      </c>
      <c r="K36" s="48">
        <f t="shared" si="2"/>
        <v>100.15019999999998</v>
      </c>
      <c r="L36" s="48">
        <v>0</v>
      </c>
      <c r="M36" s="48">
        <f t="shared" si="1"/>
        <v>2900</v>
      </c>
    </row>
    <row r="37" spans="2:13" x14ac:dyDescent="0.35">
      <c r="B37" s="60" t="s">
        <v>136</v>
      </c>
      <c r="C37" s="48">
        <v>876.97</v>
      </c>
      <c r="D37" s="48">
        <v>0</v>
      </c>
      <c r="E37" s="48">
        <v>0</v>
      </c>
      <c r="F37" s="48">
        <v>565.64</v>
      </c>
      <c r="G37" s="47">
        <v>97.34</v>
      </c>
      <c r="H37" s="48">
        <v>0</v>
      </c>
      <c r="I37" s="48">
        <v>0</v>
      </c>
      <c r="J37" s="49">
        <v>0</v>
      </c>
      <c r="K37" s="48">
        <f t="shared" si="2"/>
        <v>52.618200000000002</v>
      </c>
      <c r="L37" s="48">
        <v>0</v>
      </c>
      <c r="M37" s="48">
        <f t="shared" si="1"/>
        <v>1539.95</v>
      </c>
    </row>
    <row r="38" spans="2:13" x14ac:dyDescent="0.35">
      <c r="B38" s="60" t="s">
        <v>114</v>
      </c>
      <c r="C38" s="48">
        <f>1848.21</f>
        <v>1848.21</v>
      </c>
      <c r="D38" s="48">
        <v>0</v>
      </c>
      <c r="E38" s="48">
        <v>0</v>
      </c>
      <c r="F38" s="48">
        <v>681.87</v>
      </c>
      <c r="G38" s="47">
        <v>52.56</v>
      </c>
      <c r="H38" s="48">
        <v>0</v>
      </c>
      <c r="I38" s="48">
        <v>0</v>
      </c>
      <c r="J38" s="49">
        <v>0</v>
      </c>
      <c r="K38" s="48">
        <f t="shared" si="2"/>
        <v>110.8926</v>
      </c>
      <c r="L38" s="48">
        <v>0</v>
      </c>
      <c r="M38" s="48">
        <f t="shared" si="1"/>
        <v>2582.64</v>
      </c>
    </row>
    <row r="39" spans="2:13" x14ac:dyDescent="0.35">
      <c r="B39" s="60" t="s">
        <v>21</v>
      </c>
      <c r="C39" s="48">
        <v>1137.96</v>
      </c>
      <c r="D39" s="48">
        <f>127.3+54.39+109.17</f>
        <v>290.86</v>
      </c>
      <c r="E39" s="48">
        <v>0</v>
      </c>
      <c r="F39" s="48">
        <v>675.04</v>
      </c>
      <c r="G39" s="47">
        <v>0</v>
      </c>
      <c r="H39" s="48">
        <v>0</v>
      </c>
      <c r="I39" s="48">
        <v>0</v>
      </c>
      <c r="J39" s="49">
        <v>0</v>
      </c>
      <c r="K39" s="48">
        <f t="shared" si="2"/>
        <v>85.729200000000006</v>
      </c>
      <c r="L39" s="48">
        <v>0</v>
      </c>
      <c r="M39" s="48">
        <f t="shared" si="1"/>
        <v>2103.86</v>
      </c>
    </row>
    <row r="40" spans="2:13" x14ac:dyDescent="0.35">
      <c r="B40" s="60" t="s">
        <v>359</v>
      </c>
      <c r="C40" s="48">
        <f>1269.15-800</f>
        <v>469.15000000000009</v>
      </c>
      <c r="D40" s="48">
        <v>0</v>
      </c>
      <c r="E40" s="48">
        <v>0</v>
      </c>
      <c r="F40" s="48">
        <v>508.95</v>
      </c>
      <c r="G40" s="47">
        <v>21.9</v>
      </c>
      <c r="H40" s="48">
        <v>0</v>
      </c>
      <c r="I40" s="48">
        <v>0</v>
      </c>
      <c r="J40" s="49">
        <v>0</v>
      </c>
      <c r="K40" s="48">
        <f t="shared" si="2"/>
        <v>28.149000000000004</v>
      </c>
      <c r="L40" s="48">
        <v>0</v>
      </c>
      <c r="M40" s="48">
        <f t="shared" si="1"/>
        <v>1000.0000000000001</v>
      </c>
    </row>
    <row r="41" spans="2:13" x14ac:dyDescent="0.35">
      <c r="B41" s="60" t="s">
        <v>137</v>
      </c>
      <c r="C41" s="48">
        <v>159.56</v>
      </c>
      <c r="D41" s="48">
        <v>0</v>
      </c>
      <c r="E41" s="48">
        <v>0</v>
      </c>
      <c r="F41" s="48">
        <v>0</v>
      </c>
      <c r="G41" s="47">
        <v>0</v>
      </c>
      <c r="H41" s="48">
        <v>0</v>
      </c>
      <c r="I41" s="48">
        <v>0</v>
      </c>
      <c r="J41" s="49">
        <v>0</v>
      </c>
      <c r="K41" s="48">
        <f t="shared" si="2"/>
        <v>9.573599999999999</v>
      </c>
      <c r="L41" s="48">
        <v>0</v>
      </c>
      <c r="M41" s="48">
        <f t="shared" si="1"/>
        <v>159.56</v>
      </c>
    </row>
    <row r="42" spans="2:13" x14ac:dyDescent="0.35">
      <c r="B42" s="60" t="s">
        <v>116</v>
      </c>
      <c r="C42" s="48">
        <v>324.7</v>
      </c>
      <c r="D42" s="48">
        <v>0</v>
      </c>
      <c r="E42" s="48">
        <v>0</v>
      </c>
      <c r="F42" s="48">
        <v>0</v>
      </c>
      <c r="G42" s="47">
        <v>0</v>
      </c>
      <c r="H42" s="48">
        <v>0</v>
      </c>
      <c r="I42" s="48">
        <v>0</v>
      </c>
      <c r="J42" s="49">
        <v>0</v>
      </c>
      <c r="K42" s="48">
        <f t="shared" si="2"/>
        <v>19.481999999999999</v>
      </c>
      <c r="L42" s="48">
        <v>0</v>
      </c>
      <c r="M42" s="48">
        <f t="shared" si="1"/>
        <v>324.7</v>
      </c>
    </row>
    <row r="43" spans="2:13" x14ac:dyDescent="0.35">
      <c r="B43" s="60" t="s">
        <v>138</v>
      </c>
      <c r="C43" s="48">
        <v>416.56</v>
      </c>
      <c r="D43" s="48">
        <v>0</v>
      </c>
      <c r="E43" s="48">
        <v>0</v>
      </c>
      <c r="F43" s="48">
        <v>0</v>
      </c>
      <c r="G43" s="47">
        <v>0</v>
      </c>
      <c r="H43" s="48">
        <v>0</v>
      </c>
      <c r="I43" s="48">
        <v>0</v>
      </c>
      <c r="J43" s="49">
        <v>0</v>
      </c>
      <c r="K43" s="48">
        <f t="shared" si="2"/>
        <v>24.993600000000001</v>
      </c>
      <c r="L43" s="48">
        <v>0</v>
      </c>
      <c r="M43" s="48">
        <f t="shared" si="1"/>
        <v>416.56</v>
      </c>
    </row>
    <row r="44" spans="2:13" x14ac:dyDescent="0.35">
      <c r="B44" s="60" t="s">
        <v>139</v>
      </c>
      <c r="C44" s="48">
        <v>336.87</v>
      </c>
      <c r="D44" s="48">
        <v>0</v>
      </c>
      <c r="E44" s="48">
        <v>0</v>
      </c>
      <c r="F44" s="48">
        <v>0</v>
      </c>
      <c r="G44" s="47">
        <v>0</v>
      </c>
      <c r="H44" s="48">
        <v>0</v>
      </c>
      <c r="I44" s="48">
        <v>0</v>
      </c>
      <c r="J44" s="49">
        <v>0</v>
      </c>
      <c r="K44" s="48">
        <f t="shared" si="2"/>
        <v>20.212199999999999</v>
      </c>
      <c r="L44" s="48">
        <v>0</v>
      </c>
      <c r="M44" s="48">
        <f t="shared" si="1"/>
        <v>336.87</v>
      </c>
    </row>
    <row r="45" spans="2:13" x14ac:dyDescent="0.35">
      <c r="B45" s="60" t="s">
        <v>140</v>
      </c>
      <c r="C45" s="48">
        <v>164.26</v>
      </c>
      <c r="D45" s="48">
        <v>0</v>
      </c>
      <c r="E45" s="48">
        <v>0</v>
      </c>
      <c r="F45" s="48">
        <v>0</v>
      </c>
      <c r="G45" s="47">
        <v>0</v>
      </c>
      <c r="H45" s="48">
        <v>0</v>
      </c>
      <c r="I45" s="48">
        <v>0</v>
      </c>
      <c r="J45" s="49">
        <v>0</v>
      </c>
      <c r="K45" s="48">
        <f t="shared" si="2"/>
        <v>9.855599999999999</v>
      </c>
      <c r="L45" s="48">
        <v>0</v>
      </c>
      <c r="M45" s="48">
        <f t="shared" si="1"/>
        <v>164.26</v>
      </c>
    </row>
    <row r="46" spans="2:13" x14ac:dyDescent="0.35">
      <c r="B46" s="60" t="s">
        <v>141</v>
      </c>
      <c r="C46" s="48">
        <v>230.18</v>
      </c>
      <c r="D46" s="48">
        <v>0</v>
      </c>
      <c r="E46" s="48">
        <v>0</v>
      </c>
      <c r="F46" s="48">
        <v>0</v>
      </c>
      <c r="G46" s="47">
        <v>0</v>
      </c>
      <c r="H46" s="48">
        <v>0</v>
      </c>
      <c r="I46" s="48">
        <v>0</v>
      </c>
      <c r="J46" s="49">
        <v>0</v>
      </c>
      <c r="K46" s="48">
        <f t="shared" si="2"/>
        <v>13.8108</v>
      </c>
      <c r="L46" s="48">
        <v>0</v>
      </c>
      <c r="M46" s="48">
        <f t="shared" si="1"/>
        <v>230.18</v>
      </c>
    </row>
    <row r="47" spans="2:13" x14ac:dyDescent="0.35">
      <c r="B47" s="60" t="s">
        <v>142</v>
      </c>
      <c r="C47" s="48">
        <v>336.87</v>
      </c>
      <c r="D47" s="48">
        <v>0</v>
      </c>
      <c r="E47" s="48">
        <v>0</v>
      </c>
      <c r="F47" s="48">
        <v>0</v>
      </c>
      <c r="G47" s="47">
        <v>0</v>
      </c>
      <c r="H47" s="48">
        <v>0</v>
      </c>
      <c r="I47" s="48">
        <v>0</v>
      </c>
      <c r="J47" s="49">
        <v>0</v>
      </c>
      <c r="K47" s="48">
        <f t="shared" si="2"/>
        <v>20.212199999999999</v>
      </c>
      <c r="L47" s="48">
        <v>0</v>
      </c>
      <c r="M47" s="48">
        <f t="shared" si="1"/>
        <v>336.87</v>
      </c>
    </row>
    <row r="48" spans="2:13" x14ac:dyDescent="0.35">
      <c r="B48" s="60" t="s">
        <v>143</v>
      </c>
      <c r="C48" s="48">
        <v>531.87</v>
      </c>
      <c r="D48" s="48">
        <v>0</v>
      </c>
      <c r="E48" s="48">
        <v>0</v>
      </c>
      <c r="F48" s="48">
        <v>0</v>
      </c>
      <c r="G48" s="47">
        <v>0</v>
      </c>
      <c r="H48" s="48">
        <v>0</v>
      </c>
      <c r="I48" s="48">
        <v>0</v>
      </c>
      <c r="J48" s="49">
        <v>0</v>
      </c>
      <c r="K48" s="48">
        <f t="shared" si="2"/>
        <v>31.912199999999999</v>
      </c>
      <c r="L48" s="48">
        <v>0</v>
      </c>
      <c r="M48" s="48">
        <f t="shared" si="1"/>
        <v>531.87</v>
      </c>
    </row>
    <row r="49" spans="2:13" x14ac:dyDescent="0.35">
      <c r="B49" s="60" t="s">
        <v>144</v>
      </c>
      <c r="C49" s="48">
        <v>0</v>
      </c>
      <c r="D49" s="48">
        <v>0</v>
      </c>
      <c r="E49" s="48">
        <v>0</v>
      </c>
      <c r="F49" s="48">
        <v>0</v>
      </c>
      <c r="G49" s="47">
        <v>0</v>
      </c>
      <c r="H49" s="48">
        <v>0</v>
      </c>
      <c r="I49" s="48">
        <v>0</v>
      </c>
      <c r="J49" s="49">
        <v>0</v>
      </c>
      <c r="K49" s="48">
        <v>0</v>
      </c>
      <c r="L49" s="48">
        <v>0</v>
      </c>
      <c r="M49" s="48">
        <f t="shared" si="1"/>
        <v>0</v>
      </c>
    </row>
    <row r="50" spans="2:13" x14ac:dyDescent="0.35">
      <c r="B50" s="60" t="s">
        <v>145</v>
      </c>
      <c r="C50" s="48">
        <v>473.11</v>
      </c>
      <c r="D50" s="48">
        <v>0</v>
      </c>
      <c r="E50" s="48">
        <v>0</v>
      </c>
      <c r="F50" s="48">
        <v>0</v>
      </c>
      <c r="G50" s="47">
        <v>0</v>
      </c>
      <c r="H50" s="48">
        <v>0</v>
      </c>
      <c r="I50" s="48">
        <v>0</v>
      </c>
      <c r="J50" s="49">
        <v>0</v>
      </c>
      <c r="K50" s="48">
        <f t="shared" si="2"/>
        <v>28.386600000000001</v>
      </c>
      <c r="L50" s="48">
        <v>0</v>
      </c>
      <c r="M50" s="48">
        <f t="shared" si="1"/>
        <v>473.11</v>
      </c>
    </row>
    <row r="51" spans="2:13" x14ac:dyDescent="0.35">
      <c r="B51" s="60" t="s">
        <v>146</v>
      </c>
      <c r="C51" s="48">
        <v>667.66</v>
      </c>
      <c r="D51" s="48">
        <v>0</v>
      </c>
      <c r="E51" s="48">
        <v>0</v>
      </c>
      <c r="F51" s="48">
        <v>0</v>
      </c>
      <c r="G51" s="47">
        <v>0</v>
      </c>
      <c r="H51" s="48">
        <v>0</v>
      </c>
      <c r="I51" s="48">
        <v>0</v>
      </c>
      <c r="J51" s="49">
        <v>0</v>
      </c>
      <c r="K51" s="48">
        <f t="shared" si="2"/>
        <v>40.059599999999996</v>
      </c>
      <c r="L51" s="48">
        <v>0</v>
      </c>
      <c r="M51" s="48">
        <f t="shared" si="1"/>
        <v>667.66</v>
      </c>
    </row>
    <row r="52" spans="2:13" x14ac:dyDescent="0.35">
      <c r="B52" s="60" t="s">
        <v>147</v>
      </c>
      <c r="C52" s="48">
        <v>409.05</v>
      </c>
      <c r="D52" s="48">
        <v>0</v>
      </c>
      <c r="E52" s="48">
        <v>0</v>
      </c>
      <c r="F52" s="48">
        <v>0</v>
      </c>
      <c r="G52" s="47">
        <v>0</v>
      </c>
      <c r="H52" s="48">
        <v>0</v>
      </c>
      <c r="I52" s="48">
        <v>0</v>
      </c>
      <c r="J52" s="49">
        <v>0</v>
      </c>
      <c r="K52" s="48">
        <f t="shared" si="2"/>
        <v>24.542999999999999</v>
      </c>
      <c r="L52" s="48">
        <v>0</v>
      </c>
      <c r="M52" s="48">
        <f t="shared" si="1"/>
        <v>409.05</v>
      </c>
    </row>
    <row r="53" spans="2:13" x14ac:dyDescent="0.35">
      <c r="B53" s="60" t="s">
        <v>148</v>
      </c>
      <c r="C53" s="48">
        <v>200</v>
      </c>
      <c r="D53" s="48"/>
      <c r="E53" s="48"/>
      <c r="F53" s="48"/>
      <c r="G53" s="47"/>
      <c r="H53" s="48"/>
      <c r="I53" s="48"/>
      <c r="J53" s="49"/>
      <c r="K53" s="48">
        <f t="shared" si="2"/>
        <v>12</v>
      </c>
      <c r="L53" s="48"/>
      <c r="M53" s="48">
        <f t="shared" si="1"/>
        <v>200</v>
      </c>
    </row>
    <row r="54" spans="2:13" x14ac:dyDescent="0.35">
      <c r="B54" s="60" t="s">
        <v>366</v>
      </c>
      <c r="C54" s="48">
        <v>737.53</v>
      </c>
      <c r="D54" s="48">
        <v>0</v>
      </c>
      <c r="E54" s="48">
        <v>0</v>
      </c>
      <c r="F54" s="48">
        <v>0</v>
      </c>
      <c r="G54" s="47">
        <v>0</v>
      </c>
      <c r="H54" s="48">
        <v>0</v>
      </c>
      <c r="I54" s="48">
        <v>0</v>
      </c>
      <c r="J54" s="49">
        <v>0</v>
      </c>
      <c r="K54" s="48">
        <f t="shared" si="2"/>
        <v>44.251799999999996</v>
      </c>
      <c r="L54" s="48">
        <v>0</v>
      </c>
      <c r="M54" s="48">
        <f t="shared" si="1"/>
        <v>737.53</v>
      </c>
    </row>
    <row r="55" spans="2:13" x14ac:dyDescent="0.35">
      <c r="B55" s="60" t="s">
        <v>149</v>
      </c>
      <c r="C55" s="48">
        <v>0</v>
      </c>
      <c r="D55" s="48">
        <v>0</v>
      </c>
      <c r="E55" s="48"/>
      <c r="F55" s="48"/>
      <c r="G55" s="47"/>
      <c r="H55" s="48"/>
      <c r="I55" s="48"/>
      <c r="J55" s="49"/>
      <c r="K55" s="48">
        <f t="shared" si="2"/>
        <v>0</v>
      </c>
      <c r="L55" s="48"/>
      <c r="M55" s="48">
        <f t="shared" si="1"/>
        <v>0</v>
      </c>
    </row>
    <row r="56" spans="2:13" x14ac:dyDescent="0.35">
      <c r="B56" s="60" t="s">
        <v>150</v>
      </c>
      <c r="C56" s="48">
        <v>505.31</v>
      </c>
      <c r="D56" s="48">
        <v>0</v>
      </c>
      <c r="E56" s="48">
        <v>0</v>
      </c>
      <c r="F56" s="48">
        <v>0</v>
      </c>
      <c r="G56" s="47">
        <v>0</v>
      </c>
      <c r="H56" s="48">
        <v>0</v>
      </c>
      <c r="I56" s="48">
        <v>0</v>
      </c>
      <c r="J56" s="49">
        <v>0</v>
      </c>
      <c r="K56" s="48">
        <f t="shared" si="2"/>
        <v>30.3186</v>
      </c>
      <c r="L56" s="48">
        <v>0</v>
      </c>
      <c r="M56" s="48">
        <f t="shared" si="1"/>
        <v>505.31</v>
      </c>
    </row>
    <row r="57" spans="2:13" x14ac:dyDescent="0.35">
      <c r="B57" s="60" t="s">
        <v>151</v>
      </c>
      <c r="C57" s="48">
        <f>525.68</f>
        <v>525.67999999999995</v>
      </c>
      <c r="D57" s="48">
        <v>0</v>
      </c>
      <c r="E57" s="48">
        <v>0</v>
      </c>
      <c r="F57" s="48">
        <v>0</v>
      </c>
      <c r="G57" s="48">
        <v>0</v>
      </c>
      <c r="H57" s="48">
        <v>0</v>
      </c>
      <c r="I57" s="48">
        <v>0</v>
      </c>
      <c r="J57" s="49">
        <v>0</v>
      </c>
      <c r="K57" s="48">
        <f t="shared" si="2"/>
        <v>31.540799999999997</v>
      </c>
      <c r="L57" s="48">
        <v>0</v>
      </c>
      <c r="M57" s="48">
        <f t="shared" si="1"/>
        <v>525.67999999999995</v>
      </c>
    </row>
    <row r="58" spans="2:13" x14ac:dyDescent="0.35">
      <c r="B58" s="60" t="s">
        <v>152</v>
      </c>
      <c r="C58" s="48">
        <v>100</v>
      </c>
      <c r="D58" s="48">
        <v>0</v>
      </c>
      <c r="E58" s="48">
        <v>0</v>
      </c>
      <c r="F58" s="48">
        <v>0</v>
      </c>
      <c r="G58" s="48">
        <v>0</v>
      </c>
      <c r="H58" s="48">
        <v>0</v>
      </c>
      <c r="I58" s="48">
        <v>0</v>
      </c>
      <c r="J58" s="49">
        <v>0</v>
      </c>
      <c r="K58" s="48">
        <f t="shared" si="2"/>
        <v>6</v>
      </c>
      <c r="L58" s="48">
        <v>0</v>
      </c>
      <c r="M58" s="48">
        <f t="shared" si="1"/>
        <v>100</v>
      </c>
    </row>
    <row r="59" spans="2:13" x14ac:dyDescent="0.35">
      <c r="B59" s="60" t="s">
        <v>153</v>
      </c>
      <c r="C59" s="48">
        <v>490.24</v>
      </c>
      <c r="D59" s="48">
        <v>0</v>
      </c>
      <c r="E59" s="48">
        <v>0</v>
      </c>
      <c r="F59" s="48">
        <v>0</v>
      </c>
      <c r="G59" s="48">
        <v>0</v>
      </c>
      <c r="H59" s="48">
        <v>0</v>
      </c>
      <c r="I59" s="48">
        <v>0</v>
      </c>
      <c r="J59" s="49">
        <v>0</v>
      </c>
      <c r="K59" s="48">
        <f t="shared" si="2"/>
        <v>29.414400000000001</v>
      </c>
      <c r="L59" s="48">
        <v>0</v>
      </c>
      <c r="M59" s="48">
        <f t="shared" si="1"/>
        <v>490.24</v>
      </c>
    </row>
    <row r="60" spans="2:13" x14ac:dyDescent="0.35">
      <c r="B60" s="60" t="s">
        <v>154</v>
      </c>
      <c r="C60" s="48">
        <v>341.48</v>
      </c>
      <c r="D60" s="48">
        <v>0</v>
      </c>
      <c r="E60" s="48">
        <v>0</v>
      </c>
      <c r="F60" s="48">
        <v>0</v>
      </c>
      <c r="G60" s="48">
        <v>0</v>
      </c>
      <c r="H60" s="48">
        <v>0</v>
      </c>
      <c r="I60" s="48">
        <v>0</v>
      </c>
      <c r="J60" s="49">
        <v>0</v>
      </c>
      <c r="K60" s="48">
        <f t="shared" si="2"/>
        <v>20.488800000000001</v>
      </c>
      <c r="L60" s="48">
        <v>0</v>
      </c>
      <c r="M60" s="48">
        <f t="shared" si="1"/>
        <v>341.48</v>
      </c>
    </row>
    <row r="61" spans="2:13" x14ac:dyDescent="0.35">
      <c r="B61" s="60" t="s">
        <v>155</v>
      </c>
      <c r="C61" s="48">
        <v>343.76</v>
      </c>
      <c r="D61" s="48">
        <v>0</v>
      </c>
      <c r="E61" s="48">
        <v>0</v>
      </c>
      <c r="F61" s="48">
        <v>0</v>
      </c>
      <c r="G61" s="48">
        <v>0</v>
      </c>
      <c r="H61" s="48">
        <v>0</v>
      </c>
      <c r="I61" s="48">
        <v>0</v>
      </c>
      <c r="J61" s="49">
        <v>0</v>
      </c>
      <c r="K61" s="48">
        <f t="shared" si="2"/>
        <v>20.625599999999999</v>
      </c>
      <c r="L61" s="48">
        <v>0</v>
      </c>
      <c r="M61" s="48">
        <f t="shared" si="1"/>
        <v>343.76</v>
      </c>
    </row>
    <row r="62" spans="2:13" x14ac:dyDescent="0.35">
      <c r="B62" s="60" t="s">
        <v>155</v>
      </c>
      <c r="C62" s="48">
        <v>343.76</v>
      </c>
      <c r="D62" s="48">
        <f>34.38+3.44</f>
        <v>37.82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9">
        <v>0</v>
      </c>
      <c r="K62" s="48">
        <f t="shared" si="2"/>
        <v>22.894799999999996</v>
      </c>
      <c r="L62" s="48">
        <v>0</v>
      </c>
      <c r="M62" s="48">
        <f t="shared" si="1"/>
        <v>381.58</v>
      </c>
    </row>
    <row r="63" spans="2:13" x14ac:dyDescent="0.35">
      <c r="B63" s="60" t="s">
        <v>156</v>
      </c>
      <c r="C63" s="48">
        <f>488.99-209.69</f>
        <v>279.3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8">
        <v>0</v>
      </c>
      <c r="K63" s="48">
        <f t="shared" si="2"/>
        <v>16.757999999999999</v>
      </c>
      <c r="L63" s="48">
        <v>0</v>
      </c>
      <c r="M63" s="48">
        <f t="shared" si="1"/>
        <v>279.3</v>
      </c>
    </row>
    <row r="64" spans="2:13" x14ac:dyDescent="0.35">
      <c r="B64" s="60" t="s">
        <v>22</v>
      </c>
      <c r="C64" s="48">
        <v>500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8">
        <v>0</v>
      </c>
      <c r="K64" s="48">
        <f t="shared" si="2"/>
        <v>30</v>
      </c>
      <c r="L64" s="48">
        <v>0</v>
      </c>
      <c r="M64" s="48">
        <f t="shared" si="1"/>
        <v>500</v>
      </c>
    </row>
    <row r="65" spans="2:13" x14ac:dyDescent="0.35">
      <c r="B65" s="60" t="s">
        <v>23</v>
      </c>
      <c r="C65" s="48">
        <v>592.77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9">
        <v>0</v>
      </c>
      <c r="K65" s="48">
        <f t="shared" si="2"/>
        <v>35.566199999999995</v>
      </c>
      <c r="L65" s="48">
        <v>0</v>
      </c>
      <c r="M65" s="48">
        <f t="shared" si="1"/>
        <v>592.77</v>
      </c>
    </row>
    <row r="66" spans="2:13" x14ac:dyDescent="0.35">
      <c r="B66" s="60" t="s">
        <v>157</v>
      </c>
      <c r="C66" s="48">
        <v>550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9">
        <v>0</v>
      </c>
      <c r="K66" s="48">
        <f t="shared" si="2"/>
        <v>33</v>
      </c>
      <c r="L66" s="48">
        <v>0</v>
      </c>
      <c r="M66" s="48">
        <f t="shared" si="1"/>
        <v>550</v>
      </c>
    </row>
    <row r="67" spans="2:13" x14ac:dyDescent="0.35">
      <c r="B67" s="60" t="s">
        <v>24</v>
      </c>
      <c r="C67" s="48">
        <v>550</v>
      </c>
      <c r="D67" s="48">
        <v>0</v>
      </c>
      <c r="E67" s="48">
        <v>0</v>
      </c>
      <c r="F67" s="48">
        <v>0</v>
      </c>
      <c r="G67" s="48">
        <v>0</v>
      </c>
      <c r="H67" s="48">
        <v>0</v>
      </c>
      <c r="I67" s="48">
        <v>0</v>
      </c>
      <c r="J67" s="49">
        <v>0</v>
      </c>
      <c r="K67" s="48">
        <f t="shared" si="2"/>
        <v>33</v>
      </c>
      <c r="L67" s="48">
        <v>0</v>
      </c>
      <c r="M67" s="48">
        <f t="shared" si="1"/>
        <v>550</v>
      </c>
    </row>
    <row r="68" spans="2:13" x14ac:dyDescent="0.35">
      <c r="B68" s="60" t="s">
        <v>158</v>
      </c>
      <c r="C68" s="48">
        <v>514.70000000000005</v>
      </c>
      <c r="D68" s="48">
        <v>0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9">
        <v>0</v>
      </c>
      <c r="K68" s="48">
        <f t="shared" si="2"/>
        <v>30.882000000000001</v>
      </c>
      <c r="L68" s="48">
        <v>0</v>
      </c>
      <c r="M68" s="48">
        <f t="shared" si="1"/>
        <v>514.70000000000005</v>
      </c>
    </row>
    <row r="69" spans="2:13" x14ac:dyDescent="0.35">
      <c r="B69" s="60" t="s">
        <v>25</v>
      </c>
      <c r="C69" s="48">
        <v>500</v>
      </c>
      <c r="D69" s="48">
        <v>0</v>
      </c>
      <c r="E69" s="48">
        <v>0</v>
      </c>
      <c r="F69" s="48">
        <v>0</v>
      </c>
      <c r="G69" s="48">
        <v>0</v>
      </c>
      <c r="H69" s="48">
        <v>0</v>
      </c>
      <c r="I69" s="48">
        <v>0</v>
      </c>
      <c r="J69" s="49">
        <v>0</v>
      </c>
      <c r="K69" s="48">
        <f t="shared" si="2"/>
        <v>30</v>
      </c>
      <c r="L69" s="48">
        <v>0</v>
      </c>
      <c r="M69" s="48">
        <f t="shared" si="1"/>
        <v>500</v>
      </c>
    </row>
    <row r="70" spans="2:13" x14ac:dyDescent="0.35">
      <c r="B70" s="60" t="s">
        <v>159</v>
      </c>
      <c r="C70" s="48">
        <v>358.29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9">
        <v>0</v>
      </c>
      <c r="K70" s="48">
        <f t="shared" si="2"/>
        <v>21.497399999999999</v>
      </c>
      <c r="L70" s="48">
        <v>0</v>
      </c>
      <c r="M70" s="48">
        <f t="shared" si="1"/>
        <v>358.29</v>
      </c>
    </row>
    <row r="71" spans="2:13" x14ac:dyDescent="0.35">
      <c r="B71" s="60" t="s">
        <v>160</v>
      </c>
      <c r="C71" s="48">
        <f>277.71</f>
        <v>277.70999999999998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9">
        <v>0</v>
      </c>
      <c r="K71" s="48">
        <f t="shared" si="2"/>
        <v>16.662599999999998</v>
      </c>
      <c r="L71" s="48">
        <v>0</v>
      </c>
      <c r="M71" s="48">
        <f t="shared" si="1"/>
        <v>277.70999999999998</v>
      </c>
    </row>
    <row r="72" spans="2:13" x14ac:dyDescent="0.35">
      <c r="B72" s="60" t="s">
        <v>161</v>
      </c>
      <c r="C72" s="48">
        <v>500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9">
        <v>0</v>
      </c>
      <c r="K72" s="48">
        <f t="shared" si="2"/>
        <v>30</v>
      </c>
      <c r="L72" s="48">
        <v>0</v>
      </c>
      <c r="M72" s="48">
        <f t="shared" ref="M72:M135" si="3">C72+D72+E72+F72+G72+H72+J72+L72-I72</f>
        <v>500</v>
      </c>
    </row>
    <row r="73" spans="2:13" x14ac:dyDescent="0.35">
      <c r="B73" s="60" t="s">
        <v>26</v>
      </c>
      <c r="C73" s="48">
        <v>360.42</v>
      </c>
      <c r="D73" s="48">
        <v>0</v>
      </c>
      <c r="E73" s="48">
        <v>0</v>
      </c>
      <c r="F73" s="48">
        <v>0</v>
      </c>
      <c r="G73" s="48">
        <v>0</v>
      </c>
      <c r="H73" s="48">
        <v>0</v>
      </c>
      <c r="I73" s="48">
        <v>0</v>
      </c>
      <c r="J73" s="49">
        <v>0</v>
      </c>
      <c r="K73" s="48">
        <f>(C73+D73+E73)*6%</f>
        <v>21.6252</v>
      </c>
      <c r="L73" s="48">
        <v>0</v>
      </c>
      <c r="M73" s="48">
        <f>C73+D73+E73+F73+G73+H73+J73+L73-I73</f>
        <v>360.42</v>
      </c>
    </row>
    <row r="74" spans="2:13" x14ac:dyDescent="0.35">
      <c r="B74" s="60" t="s">
        <v>27</v>
      </c>
      <c r="C74" s="48">
        <v>600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9">
        <v>0</v>
      </c>
      <c r="K74" s="48">
        <f t="shared" si="2"/>
        <v>36</v>
      </c>
      <c r="L74" s="48">
        <v>0</v>
      </c>
      <c r="M74" s="48">
        <f t="shared" si="3"/>
        <v>600</v>
      </c>
    </row>
    <row r="75" spans="2:13" x14ac:dyDescent="0.35">
      <c r="B75" s="60" t="s">
        <v>162</v>
      </c>
      <c r="C75" s="48">
        <f>301.45</f>
        <v>301.45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9">
        <v>0</v>
      </c>
      <c r="K75" s="48">
        <f t="shared" ref="K75:K138" si="4">(C75+D75+E75)*6%</f>
        <v>18.087</v>
      </c>
      <c r="L75" s="48">
        <v>0</v>
      </c>
      <c r="M75" s="48">
        <f t="shared" si="3"/>
        <v>301.45</v>
      </c>
    </row>
    <row r="76" spans="2:13" x14ac:dyDescent="0.35">
      <c r="B76" s="60" t="s">
        <v>163</v>
      </c>
      <c r="C76" s="48">
        <v>345.92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9">
        <v>0</v>
      </c>
      <c r="K76" s="48">
        <f t="shared" si="4"/>
        <v>20.755199999999999</v>
      </c>
      <c r="L76" s="48">
        <v>0</v>
      </c>
      <c r="M76" s="48">
        <f t="shared" si="3"/>
        <v>345.92</v>
      </c>
    </row>
    <row r="77" spans="2:13" x14ac:dyDescent="0.35">
      <c r="B77" s="60" t="s">
        <v>28</v>
      </c>
      <c r="C77" s="48">
        <v>473.39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9">
        <v>0</v>
      </c>
      <c r="K77" s="48">
        <f t="shared" si="4"/>
        <v>28.403399999999998</v>
      </c>
      <c r="L77" s="48">
        <v>0</v>
      </c>
      <c r="M77" s="48">
        <f t="shared" si="3"/>
        <v>473.39</v>
      </c>
    </row>
    <row r="78" spans="2:13" x14ac:dyDescent="0.35">
      <c r="B78" s="60" t="s">
        <v>164</v>
      </c>
      <c r="C78" s="48">
        <v>400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9">
        <v>0</v>
      </c>
      <c r="K78" s="48">
        <f t="shared" si="4"/>
        <v>24</v>
      </c>
      <c r="L78" s="48">
        <v>0</v>
      </c>
      <c r="M78" s="48">
        <f t="shared" si="3"/>
        <v>400</v>
      </c>
    </row>
    <row r="79" spans="2:13" x14ac:dyDescent="0.35">
      <c r="B79" s="60" t="s">
        <v>29</v>
      </c>
      <c r="C79" s="48">
        <f>651.91</f>
        <v>651.91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49">
        <v>0</v>
      </c>
      <c r="K79" s="48">
        <f t="shared" si="4"/>
        <v>39.114599999999996</v>
      </c>
      <c r="L79" s="48">
        <v>0</v>
      </c>
      <c r="M79" s="48">
        <f t="shared" si="3"/>
        <v>651.91</v>
      </c>
    </row>
    <row r="80" spans="2:13" x14ac:dyDescent="0.35">
      <c r="B80" s="60" t="s">
        <v>165</v>
      </c>
      <c r="C80" s="48">
        <v>325.99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9">
        <v>0</v>
      </c>
      <c r="K80" s="48">
        <f t="shared" si="4"/>
        <v>19.5594</v>
      </c>
      <c r="L80" s="48">
        <v>0</v>
      </c>
      <c r="M80" s="48">
        <f t="shared" si="3"/>
        <v>325.99</v>
      </c>
    </row>
    <row r="81" spans="2:13" x14ac:dyDescent="0.35">
      <c r="B81" s="60" t="s">
        <v>30</v>
      </c>
      <c r="C81" s="48">
        <v>658.93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9">
        <v>0</v>
      </c>
      <c r="K81" s="48">
        <f t="shared" si="4"/>
        <v>39.535799999999995</v>
      </c>
      <c r="L81" s="48">
        <v>0</v>
      </c>
      <c r="M81" s="48">
        <f t="shared" si="3"/>
        <v>658.93</v>
      </c>
    </row>
    <row r="82" spans="2:13" x14ac:dyDescent="0.35">
      <c r="B82" s="60" t="s">
        <v>166</v>
      </c>
      <c r="C82" s="48">
        <v>452.19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9">
        <v>0</v>
      </c>
      <c r="K82" s="48">
        <f t="shared" si="4"/>
        <v>27.131399999999999</v>
      </c>
      <c r="L82" s="48">
        <v>0</v>
      </c>
      <c r="M82" s="48">
        <f t="shared" si="3"/>
        <v>452.19</v>
      </c>
    </row>
    <row r="83" spans="2:13" x14ac:dyDescent="0.35">
      <c r="B83" s="60" t="s">
        <v>167</v>
      </c>
      <c r="C83" s="48">
        <v>476.29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9">
        <v>0</v>
      </c>
      <c r="K83" s="48">
        <f t="shared" si="4"/>
        <v>28.577400000000001</v>
      </c>
      <c r="L83" s="48">
        <v>0</v>
      </c>
      <c r="M83" s="48">
        <f t="shared" si="3"/>
        <v>476.29</v>
      </c>
    </row>
    <row r="84" spans="2:13" x14ac:dyDescent="0.35">
      <c r="B84" s="60" t="s">
        <v>168</v>
      </c>
      <c r="C84" s="48">
        <v>550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9">
        <v>0</v>
      </c>
      <c r="K84" s="48">
        <f t="shared" si="4"/>
        <v>33</v>
      </c>
      <c r="L84" s="48">
        <v>0</v>
      </c>
      <c r="M84" s="48">
        <f t="shared" si="3"/>
        <v>550</v>
      </c>
    </row>
    <row r="85" spans="2:13" x14ac:dyDescent="0.35">
      <c r="B85" s="60" t="s">
        <v>169</v>
      </c>
      <c r="C85" s="48">
        <v>0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9">
        <v>0</v>
      </c>
      <c r="K85" s="48">
        <f t="shared" si="4"/>
        <v>0</v>
      </c>
      <c r="L85" s="48">
        <v>0</v>
      </c>
      <c r="M85" s="48">
        <f t="shared" si="3"/>
        <v>0</v>
      </c>
    </row>
    <row r="86" spans="2:13" x14ac:dyDescent="0.35">
      <c r="B86" s="60" t="s">
        <v>323</v>
      </c>
      <c r="C86" s="48">
        <v>0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9">
        <v>0</v>
      </c>
      <c r="K86" s="48">
        <f t="shared" si="4"/>
        <v>0</v>
      </c>
      <c r="L86" s="48">
        <v>0</v>
      </c>
      <c r="M86" s="48">
        <f t="shared" si="3"/>
        <v>0</v>
      </c>
    </row>
    <row r="87" spans="2:13" x14ac:dyDescent="0.35">
      <c r="B87" s="60" t="s">
        <v>341</v>
      </c>
      <c r="C87" s="48">
        <v>0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0</v>
      </c>
      <c r="J87" s="49">
        <v>0</v>
      </c>
      <c r="K87" s="48">
        <f t="shared" si="4"/>
        <v>0</v>
      </c>
      <c r="L87" s="48">
        <v>0</v>
      </c>
      <c r="M87" s="48">
        <f t="shared" si="3"/>
        <v>0</v>
      </c>
    </row>
    <row r="88" spans="2:13" x14ac:dyDescent="0.35">
      <c r="B88" s="60" t="s">
        <v>342</v>
      </c>
      <c r="C88" s="48">
        <v>380.39</v>
      </c>
      <c r="D88" s="48">
        <v>0</v>
      </c>
      <c r="E88" s="48">
        <v>0</v>
      </c>
      <c r="F88" s="48">
        <v>368.17</v>
      </c>
      <c r="G88" s="48">
        <v>66.53</v>
      </c>
      <c r="H88" s="48">
        <v>0</v>
      </c>
      <c r="I88" s="48">
        <v>0</v>
      </c>
      <c r="J88" s="49">
        <v>0</v>
      </c>
      <c r="K88" s="48">
        <f t="shared" si="4"/>
        <v>22.823399999999999</v>
      </c>
      <c r="L88" s="48">
        <v>0</v>
      </c>
      <c r="M88" s="48">
        <f t="shared" si="3"/>
        <v>815.08999999999992</v>
      </c>
    </row>
    <row r="89" spans="2:13" x14ac:dyDescent="0.35">
      <c r="B89" s="60" t="s">
        <v>343</v>
      </c>
      <c r="C89" s="48">
        <v>480.68</v>
      </c>
      <c r="D89" s="48">
        <v>0</v>
      </c>
      <c r="E89" s="48">
        <v>0</v>
      </c>
      <c r="F89" s="48">
        <v>359.67</v>
      </c>
      <c r="G89" s="48">
        <v>64.989999999999995</v>
      </c>
      <c r="H89" s="48">
        <v>0</v>
      </c>
      <c r="I89" s="48">
        <v>0</v>
      </c>
      <c r="J89" s="49">
        <v>0</v>
      </c>
      <c r="K89" s="48">
        <f t="shared" si="4"/>
        <v>28.840799999999998</v>
      </c>
      <c r="L89" s="48">
        <v>0</v>
      </c>
      <c r="M89" s="48">
        <f t="shared" si="3"/>
        <v>905.34</v>
      </c>
    </row>
    <row r="90" spans="2:13" x14ac:dyDescent="0.35">
      <c r="B90" s="60" t="s">
        <v>344</v>
      </c>
      <c r="C90" s="48">
        <f>451</f>
        <v>451</v>
      </c>
      <c r="D90" s="48">
        <v>0</v>
      </c>
      <c r="E90" s="48">
        <v>0</v>
      </c>
      <c r="F90" s="48">
        <v>370.44</v>
      </c>
      <c r="G90" s="48">
        <v>64.25</v>
      </c>
      <c r="H90" s="48">
        <v>0</v>
      </c>
      <c r="I90" s="48">
        <v>0</v>
      </c>
      <c r="J90" s="49">
        <v>0</v>
      </c>
      <c r="K90" s="48">
        <f t="shared" si="4"/>
        <v>27.06</v>
      </c>
      <c r="L90" s="48">
        <v>0</v>
      </c>
      <c r="M90" s="48">
        <f t="shared" si="3"/>
        <v>885.69</v>
      </c>
    </row>
    <row r="91" spans="2:13" x14ac:dyDescent="0.35">
      <c r="B91" s="60" t="s">
        <v>345</v>
      </c>
      <c r="C91" s="48">
        <f>541.02</f>
        <v>541.02</v>
      </c>
      <c r="D91" s="48">
        <v>0</v>
      </c>
      <c r="E91" s="48">
        <v>0</v>
      </c>
      <c r="F91" s="48">
        <v>437.06</v>
      </c>
      <c r="G91" s="48">
        <v>75.7</v>
      </c>
      <c r="H91" s="48">
        <v>0</v>
      </c>
      <c r="I91" s="48">
        <v>0</v>
      </c>
      <c r="J91" s="49">
        <v>0</v>
      </c>
      <c r="K91" s="48">
        <f t="shared" si="4"/>
        <v>32.461199999999998</v>
      </c>
      <c r="L91" s="48">
        <v>0</v>
      </c>
      <c r="M91" s="48">
        <f t="shared" si="3"/>
        <v>1053.78</v>
      </c>
    </row>
    <row r="92" spans="2:13" x14ac:dyDescent="0.35">
      <c r="B92" s="60" t="s">
        <v>31</v>
      </c>
      <c r="C92" s="48">
        <f>566.24-53.12</f>
        <v>513.12</v>
      </c>
      <c r="D92" s="48">
        <v>0</v>
      </c>
      <c r="E92" s="48">
        <v>0</v>
      </c>
      <c r="F92" s="48">
        <v>388.63</v>
      </c>
      <c r="G92" s="48">
        <v>73.2</v>
      </c>
      <c r="H92" s="48">
        <v>0</v>
      </c>
      <c r="I92" s="48">
        <v>0</v>
      </c>
      <c r="J92" s="49">
        <v>0</v>
      </c>
      <c r="K92" s="48">
        <f t="shared" si="4"/>
        <v>30.787199999999999</v>
      </c>
      <c r="L92" s="48">
        <v>0</v>
      </c>
      <c r="M92" s="48">
        <f t="shared" si="3"/>
        <v>974.95</v>
      </c>
    </row>
    <row r="93" spans="2:13" x14ac:dyDescent="0.35">
      <c r="B93" s="60" t="s">
        <v>170</v>
      </c>
      <c r="C93" s="48">
        <v>438.1</v>
      </c>
      <c r="D93" s="48">
        <v>0</v>
      </c>
      <c r="E93" s="48">
        <v>0</v>
      </c>
      <c r="F93" s="48">
        <v>197.28</v>
      </c>
      <c r="G93" s="48">
        <v>37.18</v>
      </c>
      <c r="H93" s="48">
        <v>0</v>
      </c>
      <c r="I93" s="48">
        <v>0</v>
      </c>
      <c r="J93" s="49">
        <v>0</v>
      </c>
      <c r="K93" s="48">
        <f t="shared" si="4"/>
        <v>26.286000000000001</v>
      </c>
      <c r="L93" s="48">
        <v>0</v>
      </c>
      <c r="M93" s="48">
        <f t="shared" si="3"/>
        <v>672.56</v>
      </c>
    </row>
    <row r="94" spans="2:13" x14ac:dyDescent="0.35">
      <c r="B94" s="60" t="s">
        <v>171</v>
      </c>
      <c r="C94" s="48">
        <f>351.45</f>
        <v>351.45</v>
      </c>
      <c r="D94" s="48">
        <v>0</v>
      </c>
      <c r="E94" s="48">
        <v>0</v>
      </c>
      <c r="F94" s="48">
        <v>208.84</v>
      </c>
      <c r="G94" s="48">
        <v>39.909999999999997</v>
      </c>
      <c r="H94" s="48">
        <v>0</v>
      </c>
      <c r="I94" s="48">
        <v>0</v>
      </c>
      <c r="J94" s="49">
        <v>0</v>
      </c>
      <c r="K94" s="48">
        <f t="shared" si="4"/>
        <v>21.087</v>
      </c>
      <c r="L94" s="48">
        <v>0</v>
      </c>
      <c r="M94" s="48">
        <f t="shared" si="3"/>
        <v>600.19999999999993</v>
      </c>
    </row>
    <row r="95" spans="2:13" x14ac:dyDescent="0.35">
      <c r="B95" s="60" t="s">
        <v>372</v>
      </c>
      <c r="C95" s="48">
        <v>486.23</v>
      </c>
      <c r="D95" s="48">
        <v>0</v>
      </c>
      <c r="E95" s="48">
        <v>0</v>
      </c>
      <c r="F95" s="48">
        <v>390.7</v>
      </c>
      <c r="G95" s="48">
        <v>74.77</v>
      </c>
      <c r="H95" s="48">
        <v>0</v>
      </c>
      <c r="I95" s="48">
        <v>0</v>
      </c>
      <c r="J95" s="49">
        <v>0</v>
      </c>
      <c r="K95" s="48">
        <f t="shared" si="4"/>
        <v>29.1738</v>
      </c>
      <c r="L95" s="48">
        <v>0</v>
      </c>
      <c r="M95" s="48">
        <f t="shared" si="3"/>
        <v>951.7</v>
      </c>
    </row>
    <row r="96" spans="2:13" x14ac:dyDescent="0.35">
      <c r="B96" s="60" t="s">
        <v>172</v>
      </c>
      <c r="C96" s="48">
        <v>481.68</v>
      </c>
      <c r="D96" s="48">
        <v>58.34</v>
      </c>
      <c r="E96" s="48">
        <v>0</v>
      </c>
      <c r="F96" s="48">
        <v>260.04000000000002</v>
      </c>
      <c r="G96" s="48">
        <v>49.69</v>
      </c>
      <c r="H96" s="48">
        <v>0</v>
      </c>
      <c r="I96" s="48">
        <v>0</v>
      </c>
      <c r="J96" s="49">
        <v>0</v>
      </c>
      <c r="K96" s="48">
        <f t="shared" si="4"/>
        <v>32.401199999999996</v>
      </c>
      <c r="L96" s="48">
        <v>0</v>
      </c>
      <c r="M96" s="48">
        <f t="shared" si="3"/>
        <v>849.75</v>
      </c>
    </row>
    <row r="97" spans="2:13" x14ac:dyDescent="0.35">
      <c r="B97" s="60" t="s">
        <v>173</v>
      </c>
      <c r="C97" s="48">
        <v>0</v>
      </c>
      <c r="D97" s="48">
        <v>0</v>
      </c>
      <c r="E97" s="48">
        <v>630</v>
      </c>
      <c r="F97" s="48">
        <v>0</v>
      </c>
      <c r="G97" s="48">
        <v>0</v>
      </c>
      <c r="H97" s="48">
        <v>0</v>
      </c>
      <c r="I97" s="48">
        <v>0</v>
      </c>
      <c r="J97" s="49">
        <v>0</v>
      </c>
      <c r="K97" s="48">
        <f t="shared" si="4"/>
        <v>37.799999999999997</v>
      </c>
      <c r="L97" s="48">
        <v>0</v>
      </c>
      <c r="M97" s="48">
        <f t="shared" si="3"/>
        <v>630</v>
      </c>
    </row>
    <row r="98" spans="2:13" x14ac:dyDescent="0.35">
      <c r="B98" s="60" t="s">
        <v>174</v>
      </c>
      <c r="C98" s="48">
        <v>650</v>
      </c>
      <c r="D98" s="48">
        <f>65+6.5</f>
        <v>71.5</v>
      </c>
      <c r="E98" s="48">
        <v>0</v>
      </c>
      <c r="F98" s="48">
        <v>0</v>
      </c>
      <c r="G98" s="48">
        <v>0</v>
      </c>
      <c r="H98" s="48">
        <v>0</v>
      </c>
      <c r="I98" s="48">
        <v>0</v>
      </c>
      <c r="J98" s="49">
        <v>0</v>
      </c>
      <c r="K98" s="48">
        <f t="shared" si="4"/>
        <v>43.29</v>
      </c>
      <c r="L98" s="48">
        <v>0</v>
      </c>
      <c r="M98" s="48">
        <f t="shared" si="3"/>
        <v>721.5</v>
      </c>
    </row>
    <row r="99" spans="2:13" x14ac:dyDescent="0.35">
      <c r="B99" s="60" t="s">
        <v>32</v>
      </c>
      <c r="C99" s="48">
        <v>384.62</v>
      </c>
      <c r="D99" s="48">
        <v>0</v>
      </c>
      <c r="E99" s="48">
        <v>0</v>
      </c>
      <c r="F99" s="48">
        <v>706.88</v>
      </c>
      <c r="G99" s="48">
        <v>0</v>
      </c>
      <c r="H99" s="48">
        <v>0</v>
      </c>
      <c r="I99" s="48">
        <v>0</v>
      </c>
      <c r="J99" s="49">
        <v>0</v>
      </c>
      <c r="K99" s="48">
        <f t="shared" si="4"/>
        <v>23.077199999999998</v>
      </c>
      <c r="L99" s="48">
        <v>0</v>
      </c>
      <c r="M99" s="48">
        <f t="shared" si="3"/>
        <v>1091.5</v>
      </c>
    </row>
    <row r="100" spans="2:13" x14ac:dyDescent="0.35">
      <c r="B100" s="60" t="s">
        <v>175</v>
      </c>
      <c r="C100" s="48">
        <v>557.91</v>
      </c>
      <c r="D100" s="48">
        <v>0</v>
      </c>
      <c r="E100" s="48">
        <v>0</v>
      </c>
      <c r="F100" s="48">
        <v>363.13</v>
      </c>
      <c r="G100" s="48">
        <v>65.599999999999994</v>
      </c>
      <c r="H100" s="48">
        <v>0</v>
      </c>
      <c r="I100" s="48">
        <v>0</v>
      </c>
      <c r="J100" s="49">
        <v>0</v>
      </c>
      <c r="K100" s="48">
        <f t="shared" si="4"/>
        <v>33.474599999999995</v>
      </c>
      <c r="L100" s="48">
        <v>0</v>
      </c>
      <c r="M100" s="48">
        <f t="shared" si="3"/>
        <v>986.64</v>
      </c>
    </row>
    <row r="101" spans="2:13" x14ac:dyDescent="0.35">
      <c r="B101" s="60" t="s">
        <v>176</v>
      </c>
      <c r="C101" s="48">
        <f>656.96-172.95</f>
        <v>484.01000000000005</v>
      </c>
      <c r="D101" s="48">
        <v>0</v>
      </c>
      <c r="E101" s="48">
        <v>0</v>
      </c>
      <c r="F101" s="48">
        <v>368.17</v>
      </c>
      <c r="G101" s="48">
        <v>66.53</v>
      </c>
      <c r="H101" s="48">
        <v>0</v>
      </c>
      <c r="I101" s="48">
        <v>0</v>
      </c>
      <c r="J101" s="49">
        <v>0</v>
      </c>
      <c r="K101" s="48">
        <f t="shared" si="4"/>
        <v>29.040600000000001</v>
      </c>
      <c r="L101" s="48">
        <v>0</v>
      </c>
      <c r="M101" s="48">
        <f t="shared" si="3"/>
        <v>918.71</v>
      </c>
    </row>
    <row r="102" spans="2:13" x14ac:dyDescent="0.35">
      <c r="B102" s="60" t="s">
        <v>177</v>
      </c>
      <c r="C102" s="48">
        <f>711.42-243.61</f>
        <v>467.80999999999995</v>
      </c>
      <c r="D102" s="48">
        <v>0</v>
      </c>
      <c r="E102" s="48">
        <v>0</v>
      </c>
      <c r="F102" s="48">
        <v>359.67</v>
      </c>
      <c r="G102" s="48">
        <v>64.989999999999995</v>
      </c>
      <c r="H102" s="48">
        <v>0</v>
      </c>
      <c r="I102" s="48">
        <v>0</v>
      </c>
      <c r="J102" s="49">
        <v>0</v>
      </c>
      <c r="K102" s="48">
        <f t="shared" si="4"/>
        <v>28.068599999999996</v>
      </c>
      <c r="L102" s="48">
        <v>0</v>
      </c>
      <c r="M102" s="48">
        <f t="shared" si="3"/>
        <v>892.47</v>
      </c>
    </row>
    <row r="103" spans="2:13" x14ac:dyDescent="0.35">
      <c r="B103" s="60" t="s">
        <v>177</v>
      </c>
      <c r="C103" s="48">
        <v>0</v>
      </c>
      <c r="D103" s="48">
        <v>0</v>
      </c>
      <c r="E103" s="48">
        <v>0</v>
      </c>
      <c r="F103" s="48">
        <v>0</v>
      </c>
      <c r="G103" s="48"/>
      <c r="H103" s="48"/>
      <c r="I103" s="48"/>
      <c r="J103" s="49"/>
      <c r="K103" s="48">
        <f t="shared" si="4"/>
        <v>0</v>
      </c>
      <c r="L103" s="48"/>
      <c r="M103" s="48">
        <f t="shared" si="3"/>
        <v>0</v>
      </c>
    </row>
    <row r="104" spans="2:13" x14ac:dyDescent="0.35">
      <c r="B104" s="60" t="s">
        <v>178</v>
      </c>
      <c r="C104" s="48">
        <v>383.08</v>
      </c>
      <c r="D104" s="48">
        <v>52.14</v>
      </c>
      <c r="E104" s="48">
        <v>0</v>
      </c>
      <c r="F104" s="48">
        <v>370.44</v>
      </c>
      <c r="G104" s="48">
        <v>64.25</v>
      </c>
      <c r="H104" s="48">
        <v>0</v>
      </c>
      <c r="I104" s="48">
        <v>0</v>
      </c>
      <c r="J104" s="49">
        <v>0</v>
      </c>
      <c r="K104" s="48">
        <f t="shared" si="4"/>
        <v>26.113199999999996</v>
      </c>
      <c r="L104" s="48">
        <v>0</v>
      </c>
      <c r="M104" s="48">
        <f t="shared" si="3"/>
        <v>869.91</v>
      </c>
    </row>
    <row r="105" spans="2:13" x14ac:dyDescent="0.35">
      <c r="B105" s="60" t="s">
        <v>179</v>
      </c>
      <c r="C105" s="48">
        <v>493.7</v>
      </c>
      <c r="D105" s="48">
        <v>0</v>
      </c>
      <c r="E105" s="48">
        <v>0</v>
      </c>
      <c r="F105" s="48">
        <v>437.06</v>
      </c>
      <c r="G105" s="48">
        <v>75.7</v>
      </c>
      <c r="H105" s="48">
        <v>0</v>
      </c>
      <c r="I105" s="48">
        <v>0</v>
      </c>
      <c r="J105" s="49">
        <v>0</v>
      </c>
      <c r="K105" s="48">
        <f t="shared" si="4"/>
        <v>29.622</v>
      </c>
      <c r="L105" s="48">
        <v>0</v>
      </c>
      <c r="M105" s="48">
        <f t="shared" si="3"/>
        <v>1006.46</v>
      </c>
    </row>
    <row r="106" spans="2:13" x14ac:dyDescent="0.35">
      <c r="B106" s="60" t="s">
        <v>33</v>
      </c>
      <c r="C106" s="48">
        <f>794.71</f>
        <v>794.71</v>
      </c>
      <c r="D106" s="48">
        <v>0</v>
      </c>
      <c r="E106" s="48">
        <v>0</v>
      </c>
      <c r="F106" s="48">
        <v>388.63</v>
      </c>
      <c r="G106" s="48">
        <v>73.22</v>
      </c>
      <c r="H106" s="48">
        <v>0</v>
      </c>
      <c r="I106" s="48">
        <v>0</v>
      </c>
      <c r="J106" s="49">
        <v>0</v>
      </c>
      <c r="K106" s="48">
        <f t="shared" si="4"/>
        <v>47.682600000000001</v>
      </c>
      <c r="L106" s="48">
        <v>0</v>
      </c>
      <c r="M106" s="48">
        <f t="shared" si="3"/>
        <v>1256.5600000000002</v>
      </c>
    </row>
    <row r="107" spans="2:13" x14ac:dyDescent="0.35">
      <c r="B107" s="60" t="s">
        <v>180</v>
      </c>
      <c r="C107" s="48">
        <v>0</v>
      </c>
      <c r="D107" s="48">
        <v>0</v>
      </c>
      <c r="E107" s="48">
        <v>0</v>
      </c>
      <c r="F107" s="48">
        <v>0</v>
      </c>
      <c r="G107" s="48">
        <v>0</v>
      </c>
      <c r="H107" s="48">
        <v>0</v>
      </c>
      <c r="I107" s="48">
        <v>0</v>
      </c>
      <c r="J107" s="49">
        <v>0</v>
      </c>
      <c r="K107" s="48">
        <f t="shared" si="4"/>
        <v>0</v>
      </c>
      <c r="L107" s="48">
        <v>0</v>
      </c>
      <c r="M107" s="48">
        <f t="shared" si="3"/>
        <v>0</v>
      </c>
    </row>
    <row r="108" spans="2:13" x14ac:dyDescent="0.35">
      <c r="B108" s="60" t="s">
        <v>181</v>
      </c>
      <c r="C108" s="48">
        <v>476.41</v>
      </c>
      <c r="D108" s="48">
        <v>55.81</v>
      </c>
      <c r="E108" s="48">
        <v>0</v>
      </c>
      <c r="F108" s="48">
        <v>208.84</v>
      </c>
      <c r="G108" s="48">
        <v>39.909999999999997</v>
      </c>
      <c r="H108" s="48">
        <v>0</v>
      </c>
      <c r="I108" s="48">
        <v>0</v>
      </c>
      <c r="J108" s="49">
        <v>0</v>
      </c>
      <c r="K108" s="48">
        <f t="shared" si="4"/>
        <v>31.933199999999999</v>
      </c>
      <c r="L108" s="48">
        <v>0</v>
      </c>
      <c r="M108" s="48">
        <f t="shared" si="3"/>
        <v>780.97</v>
      </c>
    </row>
    <row r="109" spans="2:13" x14ac:dyDescent="0.35">
      <c r="B109" s="60" t="s">
        <v>182</v>
      </c>
      <c r="C109" s="48">
        <v>484.66</v>
      </c>
      <c r="D109" s="48">
        <v>0</v>
      </c>
      <c r="E109" s="48">
        <v>0</v>
      </c>
      <c r="F109" s="48">
        <v>390.7</v>
      </c>
      <c r="G109" s="48">
        <v>74.77</v>
      </c>
      <c r="H109" s="48">
        <v>0</v>
      </c>
      <c r="I109" s="48">
        <v>0</v>
      </c>
      <c r="J109" s="49">
        <v>0</v>
      </c>
      <c r="K109" s="48">
        <f>(C109+D109+E109)*6%</f>
        <v>29.079599999999999</v>
      </c>
      <c r="L109" s="48">
        <v>0</v>
      </c>
      <c r="M109" s="48">
        <f>C109+D109+E109+F109+G109+H109+J109+L109-I109</f>
        <v>950.13</v>
      </c>
    </row>
    <row r="110" spans="2:13" x14ac:dyDescent="0.35">
      <c r="B110" s="60" t="s">
        <v>34</v>
      </c>
      <c r="C110" s="48">
        <v>256.89999999999998</v>
      </c>
      <c r="D110" s="48">
        <v>0</v>
      </c>
      <c r="E110" s="48">
        <v>0</v>
      </c>
      <c r="F110" s="48">
        <v>138.69</v>
      </c>
      <c r="G110" s="48">
        <v>26.51</v>
      </c>
      <c r="H110" s="48">
        <v>0</v>
      </c>
      <c r="I110" s="48">
        <v>0</v>
      </c>
      <c r="J110" s="49">
        <v>0</v>
      </c>
      <c r="K110" s="48">
        <f t="shared" ref="K110:K111" si="5">(C110+D110+E110)*6%</f>
        <v>15.413999999999998</v>
      </c>
      <c r="L110" s="48">
        <v>0</v>
      </c>
      <c r="M110" s="48">
        <f t="shared" ref="M110:M111" si="6">C110+D110+E110+F110+G110+H110+J110+L110-I110</f>
        <v>422.09999999999997</v>
      </c>
    </row>
    <row r="111" spans="2:13" x14ac:dyDescent="0.35">
      <c r="B111" s="60" t="s">
        <v>34</v>
      </c>
      <c r="C111" s="48">
        <v>0</v>
      </c>
      <c r="D111" s="48">
        <v>0</v>
      </c>
      <c r="E111" s="48">
        <v>0</v>
      </c>
      <c r="F111" s="48">
        <v>0</v>
      </c>
      <c r="G111" s="48">
        <v>0</v>
      </c>
      <c r="H111" s="48">
        <v>0</v>
      </c>
      <c r="I111" s="48">
        <v>0</v>
      </c>
      <c r="J111" s="49">
        <v>0</v>
      </c>
      <c r="K111" s="48">
        <f t="shared" si="5"/>
        <v>0</v>
      </c>
      <c r="L111" s="48">
        <v>0</v>
      </c>
      <c r="M111" s="48">
        <f t="shared" si="6"/>
        <v>0</v>
      </c>
    </row>
    <row r="112" spans="2:13" x14ac:dyDescent="0.35">
      <c r="B112" s="60" t="s">
        <v>35</v>
      </c>
      <c r="C112" s="48">
        <v>449.74</v>
      </c>
      <c r="D112" s="48">
        <v>0</v>
      </c>
      <c r="E112" s="48">
        <v>0</v>
      </c>
      <c r="F112" s="48">
        <v>195.4</v>
      </c>
      <c r="G112" s="48">
        <v>33.18</v>
      </c>
      <c r="H112" s="48">
        <v>0</v>
      </c>
      <c r="I112" s="48">
        <v>0</v>
      </c>
      <c r="J112" s="49">
        <v>0</v>
      </c>
      <c r="K112" s="48">
        <f t="shared" si="4"/>
        <v>26.984400000000001</v>
      </c>
      <c r="L112" s="48">
        <v>0</v>
      </c>
      <c r="M112" s="48">
        <f t="shared" si="3"/>
        <v>678.31999999999994</v>
      </c>
    </row>
    <row r="113" spans="2:13" x14ac:dyDescent="0.35">
      <c r="B113" s="60" t="s">
        <v>183</v>
      </c>
      <c r="C113" s="48">
        <f>448.06-83.06</f>
        <v>365</v>
      </c>
      <c r="D113" s="48"/>
      <c r="E113" s="48"/>
      <c r="F113" s="48">
        <v>246.89</v>
      </c>
      <c r="G113" s="48">
        <v>41.92</v>
      </c>
      <c r="H113" s="48"/>
      <c r="I113" s="48"/>
      <c r="J113" s="49"/>
      <c r="K113" s="48">
        <f t="shared" si="4"/>
        <v>21.9</v>
      </c>
      <c r="L113" s="48"/>
      <c r="M113" s="48">
        <f t="shared" si="3"/>
        <v>653.80999999999995</v>
      </c>
    </row>
    <row r="114" spans="2:13" x14ac:dyDescent="0.35">
      <c r="B114" s="60" t="s">
        <v>184</v>
      </c>
      <c r="C114" s="48">
        <v>0</v>
      </c>
      <c r="D114" s="48">
        <v>0</v>
      </c>
      <c r="E114" s="48">
        <v>0</v>
      </c>
      <c r="F114" s="48">
        <v>0</v>
      </c>
      <c r="G114" s="48">
        <v>0</v>
      </c>
      <c r="H114" s="48">
        <v>0</v>
      </c>
      <c r="I114" s="48">
        <v>0</v>
      </c>
      <c r="J114" s="49">
        <v>0</v>
      </c>
      <c r="K114" s="48">
        <f t="shared" si="4"/>
        <v>0</v>
      </c>
      <c r="L114" s="48">
        <v>0</v>
      </c>
      <c r="M114" s="48">
        <f t="shared" si="3"/>
        <v>0</v>
      </c>
    </row>
    <row r="115" spans="2:13" x14ac:dyDescent="0.35">
      <c r="B115" s="60" t="s">
        <v>185</v>
      </c>
      <c r="C115" s="48">
        <v>622.61</v>
      </c>
      <c r="D115" s="48">
        <v>0</v>
      </c>
      <c r="E115" s="48">
        <v>0</v>
      </c>
      <c r="F115" s="48">
        <v>363.13</v>
      </c>
      <c r="G115" s="48">
        <v>65.599999999999994</v>
      </c>
      <c r="H115" s="48">
        <v>0</v>
      </c>
      <c r="I115" s="48">
        <v>0</v>
      </c>
      <c r="J115" s="49">
        <v>0</v>
      </c>
      <c r="K115" s="48">
        <f t="shared" si="4"/>
        <v>37.3566</v>
      </c>
      <c r="L115" s="48">
        <v>0</v>
      </c>
      <c r="M115" s="48">
        <f t="shared" si="3"/>
        <v>1051.3399999999999</v>
      </c>
    </row>
    <row r="116" spans="2:13" x14ac:dyDescent="0.35">
      <c r="B116" s="60" t="s">
        <v>186</v>
      </c>
      <c r="C116" s="48">
        <v>0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9">
        <v>0</v>
      </c>
      <c r="K116" s="48">
        <f t="shared" si="4"/>
        <v>0</v>
      </c>
      <c r="L116" s="48">
        <v>0</v>
      </c>
      <c r="M116" s="48">
        <f t="shared" si="3"/>
        <v>0</v>
      </c>
    </row>
    <row r="117" spans="2:13" x14ac:dyDescent="0.35">
      <c r="B117" s="60" t="s">
        <v>187</v>
      </c>
      <c r="C117" s="48">
        <v>527.39</v>
      </c>
      <c r="D117" s="48">
        <v>0</v>
      </c>
      <c r="E117" s="48">
        <v>0</v>
      </c>
      <c r="F117" s="48">
        <v>359.67</v>
      </c>
      <c r="G117" s="48">
        <v>64.989999999999995</v>
      </c>
      <c r="H117" s="48">
        <v>0</v>
      </c>
      <c r="I117" s="48">
        <v>0</v>
      </c>
      <c r="J117" s="49">
        <v>0</v>
      </c>
      <c r="K117" s="48">
        <f t="shared" si="4"/>
        <v>31.6434</v>
      </c>
      <c r="L117" s="48">
        <v>0</v>
      </c>
      <c r="M117" s="48">
        <f t="shared" si="3"/>
        <v>952.05</v>
      </c>
    </row>
    <row r="118" spans="2:13" x14ac:dyDescent="0.35">
      <c r="B118" s="60" t="s">
        <v>36</v>
      </c>
      <c r="C118" s="48">
        <f>461.66</f>
        <v>461.66</v>
      </c>
      <c r="D118" s="48">
        <v>60.01</v>
      </c>
      <c r="E118" s="48">
        <v>0</v>
      </c>
      <c r="F118" s="48">
        <v>371.03</v>
      </c>
      <c r="G118" s="48">
        <v>64.25</v>
      </c>
      <c r="H118" s="48">
        <v>0</v>
      </c>
      <c r="I118" s="48">
        <v>0</v>
      </c>
      <c r="J118" s="49">
        <v>0</v>
      </c>
      <c r="K118" s="48">
        <f t="shared" si="4"/>
        <v>31.300200000000004</v>
      </c>
      <c r="L118" s="48">
        <v>0</v>
      </c>
      <c r="M118" s="48">
        <f t="shared" si="3"/>
        <v>956.95</v>
      </c>
    </row>
    <row r="119" spans="2:13" x14ac:dyDescent="0.35">
      <c r="B119" s="60" t="s">
        <v>188</v>
      </c>
      <c r="C119" s="48">
        <v>0</v>
      </c>
      <c r="D119" s="48">
        <v>0</v>
      </c>
      <c r="E119" s="48"/>
      <c r="F119" s="48">
        <v>0</v>
      </c>
      <c r="G119" s="48">
        <v>0</v>
      </c>
      <c r="H119" s="48"/>
      <c r="I119" s="48"/>
      <c r="J119" s="49"/>
      <c r="K119" s="48">
        <f t="shared" si="4"/>
        <v>0</v>
      </c>
      <c r="L119" s="48"/>
      <c r="M119" s="48">
        <f t="shared" si="3"/>
        <v>0</v>
      </c>
    </row>
    <row r="120" spans="2:13" x14ac:dyDescent="0.35">
      <c r="B120" s="60" t="s">
        <v>189</v>
      </c>
      <c r="C120" s="48">
        <v>424.18</v>
      </c>
      <c r="D120" s="48">
        <v>0</v>
      </c>
      <c r="E120" s="48">
        <v>0</v>
      </c>
      <c r="F120" s="48">
        <v>388.63</v>
      </c>
      <c r="G120" s="48">
        <v>73.22</v>
      </c>
      <c r="H120" s="48">
        <v>0</v>
      </c>
      <c r="I120" s="48">
        <v>0</v>
      </c>
      <c r="J120" s="49">
        <v>0</v>
      </c>
      <c r="K120" s="48">
        <f t="shared" si="4"/>
        <v>25.450800000000001</v>
      </c>
      <c r="L120" s="48">
        <v>0</v>
      </c>
      <c r="M120" s="48">
        <f t="shared" si="3"/>
        <v>886.03</v>
      </c>
    </row>
    <row r="121" spans="2:13" x14ac:dyDescent="0.35">
      <c r="B121" s="60" t="s">
        <v>190</v>
      </c>
      <c r="C121" s="48"/>
      <c r="D121" s="48"/>
      <c r="E121" s="48"/>
      <c r="F121" s="48">
        <v>0</v>
      </c>
      <c r="G121" s="48">
        <v>0</v>
      </c>
      <c r="H121" s="48"/>
      <c r="I121" s="48"/>
      <c r="J121" s="49"/>
      <c r="K121" s="48">
        <f t="shared" si="4"/>
        <v>0</v>
      </c>
      <c r="L121" s="48"/>
      <c r="M121" s="48">
        <f t="shared" si="3"/>
        <v>0</v>
      </c>
    </row>
    <row r="122" spans="2:13" x14ac:dyDescent="0.35">
      <c r="B122" s="60" t="s">
        <v>191</v>
      </c>
      <c r="C122" s="48">
        <v>479.83</v>
      </c>
      <c r="D122" s="48">
        <v>0</v>
      </c>
      <c r="E122" s="48">
        <v>0</v>
      </c>
      <c r="F122" s="48">
        <v>208.84</v>
      </c>
      <c r="G122" s="48">
        <v>39.909999999999997</v>
      </c>
      <c r="H122" s="48">
        <v>0</v>
      </c>
      <c r="I122" s="48">
        <v>0</v>
      </c>
      <c r="J122" s="49">
        <v>0</v>
      </c>
      <c r="K122" s="48">
        <f t="shared" si="4"/>
        <v>28.7898</v>
      </c>
      <c r="L122" s="48">
        <v>0</v>
      </c>
      <c r="M122" s="48">
        <f t="shared" si="3"/>
        <v>728.57999999999993</v>
      </c>
    </row>
    <row r="123" spans="2:13" x14ac:dyDescent="0.35">
      <c r="B123" s="60" t="s">
        <v>192</v>
      </c>
      <c r="C123" s="48">
        <v>0</v>
      </c>
      <c r="D123" s="48">
        <v>0</v>
      </c>
      <c r="E123" s="48">
        <v>0</v>
      </c>
      <c r="F123" s="48">
        <v>0</v>
      </c>
      <c r="G123" s="48">
        <v>0</v>
      </c>
      <c r="H123" s="48">
        <v>0</v>
      </c>
      <c r="I123" s="48">
        <v>0</v>
      </c>
      <c r="J123" s="49">
        <v>0</v>
      </c>
      <c r="K123" s="48">
        <f t="shared" si="4"/>
        <v>0</v>
      </c>
      <c r="L123" s="48">
        <v>0</v>
      </c>
      <c r="M123" s="48">
        <f t="shared" si="3"/>
        <v>0</v>
      </c>
    </row>
    <row r="124" spans="2:13" x14ac:dyDescent="0.35">
      <c r="B124" s="60" t="s">
        <v>193</v>
      </c>
      <c r="C124" s="48">
        <v>473.76</v>
      </c>
      <c r="D124" s="48">
        <v>0</v>
      </c>
      <c r="E124" s="48"/>
      <c r="F124" s="48">
        <v>260.04000000000002</v>
      </c>
      <c r="G124" s="48">
        <v>49.69</v>
      </c>
      <c r="H124" s="48"/>
      <c r="I124" s="48"/>
      <c r="J124" s="49"/>
      <c r="K124" s="48">
        <f t="shared" si="4"/>
        <v>28.425599999999999</v>
      </c>
      <c r="L124" s="48">
        <v>0</v>
      </c>
      <c r="M124" s="48">
        <f t="shared" si="3"/>
        <v>783.49</v>
      </c>
    </row>
    <row r="125" spans="2:13" x14ac:dyDescent="0.35">
      <c r="B125" s="60" t="s">
        <v>194</v>
      </c>
      <c r="C125" s="48">
        <v>447.53</v>
      </c>
      <c r="D125" s="48">
        <v>0</v>
      </c>
      <c r="E125" s="48">
        <v>0</v>
      </c>
      <c r="F125" s="48">
        <v>194.61</v>
      </c>
      <c r="G125" s="48">
        <v>33.06</v>
      </c>
      <c r="H125" s="48">
        <v>0</v>
      </c>
      <c r="I125" s="48">
        <v>0</v>
      </c>
      <c r="J125" s="49">
        <v>0</v>
      </c>
      <c r="K125" s="48">
        <f t="shared" si="4"/>
        <v>26.851799999999997</v>
      </c>
      <c r="L125" s="48">
        <v>0</v>
      </c>
      <c r="M125" s="48">
        <f t="shared" si="3"/>
        <v>675.2</v>
      </c>
    </row>
    <row r="126" spans="2:13" x14ac:dyDescent="0.35">
      <c r="B126" s="60" t="s">
        <v>37</v>
      </c>
      <c r="C126" s="48">
        <v>449.27</v>
      </c>
      <c r="D126" s="48">
        <v>54.06</v>
      </c>
      <c r="E126" s="48">
        <v>0</v>
      </c>
      <c r="F126" s="48">
        <v>246.89</v>
      </c>
      <c r="G126" s="48">
        <v>41.94</v>
      </c>
      <c r="H126" s="48">
        <v>0</v>
      </c>
      <c r="I126" s="48">
        <v>0</v>
      </c>
      <c r="J126" s="49">
        <v>0</v>
      </c>
      <c r="K126" s="48">
        <f t="shared" si="4"/>
        <v>30.199799999999996</v>
      </c>
      <c r="L126" s="48">
        <v>0</v>
      </c>
      <c r="M126" s="48">
        <f t="shared" si="3"/>
        <v>792.16000000000008</v>
      </c>
    </row>
    <row r="127" spans="2:13" x14ac:dyDescent="0.35">
      <c r="B127" s="60" t="s">
        <v>38</v>
      </c>
      <c r="C127" s="48">
        <v>581.05999999999995</v>
      </c>
      <c r="D127" s="48">
        <v>0</v>
      </c>
      <c r="E127" s="48">
        <v>0</v>
      </c>
      <c r="F127" s="48">
        <v>707.08</v>
      </c>
      <c r="G127" s="48">
        <v>120.15</v>
      </c>
      <c r="H127" s="48">
        <v>0</v>
      </c>
      <c r="I127" s="48">
        <v>0</v>
      </c>
      <c r="J127" s="49">
        <v>0</v>
      </c>
      <c r="K127" s="48">
        <f t="shared" si="4"/>
        <v>34.863599999999998</v>
      </c>
      <c r="L127" s="48">
        <v>0</v>
      </c>
      <c r="M127" s="48">
        <f t="shared" si="3"/>
        <v>1408.29</v>
      </c>
    </row>
    <row r="128" spans="2:13" x14ac:dyDescent="0.35">
      <c r="B128" s="60" t="s">
        <v>195</v>
      </c>
      <c r="C128" s="48">
        <v>674.06</v>
      </c>
      <c r="D128" s="48">
        <v>0</v>
      </c>
      <c r="E128" s="48">
        <v>0</v>
      </c>
      <c r="F128" s="48">
        <v>363.32</v>
      </c>
      <c r="G128" s="48">
        <v>65.64</v>
      </c>
      <c r="H128" s="48">
        <v>0</v>
      </c>
      <c r="I128" s="48">
        <v>0</v>
      </c>
      <c r="J128" s="49">
        <v>0</v>
      </c>
      <c r="K128" s="48">
        <f t="shared" si="4"/>
        <v>40.443599999999996</v>
      </c>
      <c r="L128" s="48">
        <v>0</v>
      </c>
      <c r="M128" s="48">
        <f t="shared" si="3"/>
        <v>1103.02</v>
      </c>
    </row>
    <row r="129" spans="2:13" x14ac:dyDescent="0.35">
      <c r="B129" s="60" t="s">
        <v>196</v>
      </c>
      <c r="C129" s="48">
        <v>519.03</v>
      </c>
      <c r="D129" s="48">
        <v>0</v>
      </c>
      <c r="E129" s="48">
        <v>0</v>
      </c>
      <c r="F129" s="48">
        <v>368.17</v>
      </c>
      <c r="G129" s="48">
        <v>66.510000000000005</v>
      </c>
      <c r="H129" s="48">
        <v>0</v>
      </c>
      <c r="I129" s="48">
        <v>0</v>
      </c>
      <c r="J129" s="49">
        <v>0</v>
      </c>
      <c r="K129" s="48">
        <f t="shared" si="4"/>
        <v>31.141799999999996</v>
      </c>
      <c r="L129" s="48">
        <v>0</v>
      </c>
      <c r="M129" s="48">
        <f t="shared" si="3"/>
        <v>953.71</v>
      </c>
    </row>
    <row r="130" spans="2:13" x14ac:dyDescent="0.35">
      <c r="B130" s="60" t="s">
        <v>197</v>
      </c>
      <c r="C130" s="48">
        <v>560.41</v>
      </c>
      <c r="D130" s="48">
        <v>0</v>
      </c>
      <c r="E130" s="48">
        <v>0</v>
      </c>
      <c r="F130" s="48">
        <v>359.67</v>
      </c>
      <c r="G130" s="48">
        <v>64.97</v>
      </c>
      <c r="H130" s="48">
        <v>0</v>
      </c>
      <c r="I130" s="48">
        <v>0</v>
      </c>
      <c r="J130" s="49">
        <v>0</v>
      </c>
      <c r="K130" s="48">
        <f t="shared" si="4"/>
        <v>33.624599999999994</v>
      </c>
      <c r="L130" s="48">
        <v>0</v>
      </c>
      <c r="M130" s="48">
        <f t="shared" si="3"/>
        <v>985.05</v>
      </c>
    </row>
    <row r="131" spans="2:13" x14ac:dyDescent="0.35">
      <c r="B131" s="60" t="s">
        <v>198</v>
      </c>
      <c r="C131" s="48"/>
      <c r="D131" s="48"/>
      <c r="E131" s="48">
        <v>0</v>
      </c>
      <c r="F131" s="48">
        <v>0</v>
      </c>
      <c r="G131" s="48">
        <v>0</v>
      </c>
      <c r="H131" s="48"/>
      <c r="I131" s="48"/>
      <c r="J131" s="49"/>
      <c r="K131" s="48">
        <f t="shared" si="4"/>
        <v>0</v>
      </c>
      <c r="L131" s="48"/>
      <c r="M131" s="48">
        <f t="shared" si="3"/>
        <v>0</v>
      </c>
    </row>
    <row r="132" spans="2:13" x14ac:dyDescent="0.35">
      <c r="B132" s="60" t="s">
        <v>199</v>
      </c>
      <c r="C132" s="48">
        <f>443.73</f>
        <v>443.73</v>
      </c>
      <c r="D132" s="48">
        <v>0</v>
      </c>
      <c r="E132" s="48">
        <v>0</v>
      </c>
      <c r="F132" s="48">
        <v>439.13</v>
      </c>
      <c r="G132" s="48">
        <v>75.87</v>
      </c>
      <c r="H132" s="48">
        <v>0</v>
      </c>
      <c r="I132" s="48">
        <v>0</v>
      </c>
      <c r="J132" s="49">
        <v>0</v>
      </c>
      <c r="K132" s="48">
        <f t="shared" si="4"/>
        <v>26.623799999999999</v>
      </c>
      <c r="L132" s="48">
        <v>0</v>
      </c>
      <c r="M132" s="48">
        <f t="shared" si="3"/>
        <v>958.73</v>
      </c>
    </row>
    <row r="133" spans="2:13" x14ac:dyDescent="0.35">
      <c r="B133" s="60" t="s">
        <v>200</v>
      </c>
      <c r="C133" s="48">
        <v>0</v>
      </c>
      <c r="D133" s="48">
        <v>0</v>
      </c>
      <c r="E133" s="48">
        <v>0</v>
      </c>
      <c r="F133" s="48">
        <v>0</v>
      </c>
      <c r="G133" s="48">
        <v>0</v>
      </c>
      <c r="H133" s="48">
        <v>0</v>
      </c>
      <c r="I133" s="48">
        <v>0</v>
      </c>
      <c r="J133" s="49">
        <v>0</v>
      </c>
      <c r="K133" s="48">
        <f t="shared" si="4"/>
        <v>0</v>
      </c>
      <c r="L133" s="48">
        <v>0</v>
      </c>
      <c r="M133" s="48">
        <f t="shared" si="3"/>
        <v>0</v>
      </c>
    </row>
    <row r="134" spans="2:13" x14ac:dyDescent="0.35">
      <c r="B134" s="60" t="s">
        <v>201</v>
      </c>
      <c r="C134" s="48">
        <v>0</v>
      </c>
      <c r="D134" s="48">
        <v>0</v>
      </c>
      <c r="E134" s="48">
        <v>0</v>
      </c>
      <c r="F134" s="48">
        <v>0</v>
      </c>
      <c r="G134" s="48">
        <v>0</v>
      </c>
      <c r="H134" s="48">
        <v>0</v>
      </c>
      <c r="I134" s="48">
        <v>0</v>
      </c>
      <c r="J134" s="49">
        <v>0</v>
      </c>
      <c r="K134" s="48">
        <f t="shared" si="4"/>
        <v>0</v>
      </c>
      <c r="L134" s="48">
        <v>0</v>
      </c>
      <c r="M134" s="48">
        <f t="shared" si="3"/>
        <v>0</v>
      </c>
    </row>
    <row r="135" spans="2:13" x14ac:dyDescent="0.35">
      <c r="B135" s="60" t="s">
        <v>202</v>
      </c>
      <c r="C135" s="48">
        <v>0</v>
      </c>
      <c r="D135" s="48">
        <v>0</v>
      </c>
      <c r="E135" s="48">
        <v>0</v>
      </c>
      <c r="F135" s="48">
        <v>0</v>
      </c>
      <c r="G135" s="48">
        <v>0</v>
      </c>
      <c r="H135" s="48">
        <v>0</v>
      </c>
      <c r="I135" s="48">
        <v>0</v>
      </c>
      <c r="J135" s="49">
        <v>0</v>
      </c>
      <c r="K135" s="48">
        <f t="shared" si="4"/>
        <v>0</v>
      </c>
      <c r="L135" s="48">
        <v>0</v>
      </c>
      <c r="M135" s="48">
        <f t="shared" si="3"/>
        <v>0</v>
      </c>
    </row>
    <row r="136" spans="2:13" x14ac:dyDescent="0.35">
      <c r="B136" s="60" t="s">
        <v>203</v>
      </c>
      <c r="C136" s="48">
        <v>0</v>
      </c>
      <c r="D136" s="48">
        <v>0</v>
      </c>
      <c r="E136" s="48">
        <v>0</v>
      </c>
      <c r="F136" s="48">
        <v>0</v>
      </c>
      <c r="G136" s="48">
        <v>0</v>
      </c>
      <c r="H136" s="48">
        <v>0</v>
      </c>
      <c r="I136" s="48">
        <v>0</v>
      </c>
      <c r="J136" s="49">
        <v>0</v>
      </c>
      <c r="K136" s="48">
        <f t="shared" si="4"/>
        <v>0</v>
      </c>
      <c r="L136" s="48">
        <v>0</v>
      </c>
      <c r="M136" s="48">
        <f t="shared" ref="M136:M199" si="7">C136+D136+E136+F136+G136+H136+J136+L136-I136</f>
        <v>0</v>
      </c>
    </row>
    <row r="137" spans="2:13" x14ac:dyDescent="0.35">
      <c r="B137" s="60" t="s">
        <v>204</v>
      </c>
      <c r="C137" s="48">
        <v>474.32</v>
      </c>
      <c r="D137" s="48">
        <v>0</v>
      </c>
      <c r="E137" s="48">
        <v>0</v>
      </c>
      <c r="F137" s="48">
        <v>260.04000000000002</v>
      </c>
      <c r="G137" s="48">
        <v>49.69</v>
      </c>
      <c r="H137" s="48">
        <v>0</v>
      </c>
      <c r="I137" s="48">
        <v>0</v>
      </c>
      <c r="J137" s="49">
        <v>0</v>
      </c>
      <c r="K137" s="48">
        <f t="shared" si="4"/>
        <v>28.459199999999999</v>
      </c>
      <c r="L137" s="48">
        <v>0</v>
      </c>
      <c r="M137" s="48">
        <f t="shared" si="7"/>
        <v>784.05</v>
      </c>
    </row>
    <row r="138" spans="2:13" x14ac:dyDescent="0.35">
      <c r="B138" s="60" t="s">
        <v>205</v>
      </c>
      <c r="C138" s="48">
        <f>357.55</f>
        <v>357.55</v>
      </c>
      <c r="D138" s="48">
        <v>0</v>
      </c>
      <c r="E138" s="48">
        <v>0</v>
      </c>
      <c r="F138" s="48">
        <v>194.61</v>
      </c>
      <c r="G138" s="48">
        <v>32.94</v>
      </c>
      <c r="H138" s="48">
        <v>0</v>
      </c>
      <c r="I138" s="48">
        <v>0</v>
      </c>
      <c r="J138" s="49">
        <v>0</v>
      </c>
      <c r="K138" s="48">
        <f t="shared" si="4"/>
        <v>21.452999999999999</v>
      </c>
      <c r="L138" s="48">
        <v>0</v>
      </c>
      <c r="M138" s="48">
        <f t="shared" si="7"/>
        <v>585.10000000000014</v>
      </c>
    </row>
    <row r="139" spans="2:13" x14ac:dyDescent="0.35">
      <c r="B139" s="60" t="s">
        <v>206</v>
      </c>
      <c r="C139" s="48">
        <f>444.37-133.06</f>
        <v>311.31</v>
      </c>
      <c r="D139" s="48">
        <v>0</v>
      </c>
      <c r="E139" s="48">
        <v>0</v>
      </c>
      <c r="F139" s="48">
        <v>246.89</v>
      </c>
      <c r="G139" s="48">
        <v>41.8</v>
      </c>
      <c r="H139" s="48">
        <v>0</v>
      </c>
      <c r="I139" s="48">
        <v>0</v>
      </c>
      <c r="J139" s="49">
        <v>0</v>
      </c>
      <c r="K139" s="48">
        <f t="shared" ref="K139:K202" si="8">(C139+D139+E139)*6%</f>
        <v>18.678599999999999</v>
      </c>
      <c r="L139" s="48">
        <v>0</v>
      </c>
      <c r="M139" s="48">
        <f t="shared" si="7"/>
        <v>600</v>
      </c>
    </row>
    <row r="140" spans="2:13" x14ac:dyDescent="0.35">
      <c r="B140" s="60" t="s">
        <v>207</v>
      </c>
      <c r="C140" s="48">
        <f>619.58-309.79</f>
        <v>309.79000000000002</v>
      </c>
      <c r="D140" s="48">
        <v>0</v>
      </c>
      <c r="E140" s="48">
        <v>0</v>
      </c>
      <c r="F140" s="48">
        <v>711.53</v>
      </c>
      <c r="G140" s="48">
        <v>120.41</v>
      </c>
      <c r="H140" s="48">
        <v>0</v>
      </c>
      <c r="I140" s="48">
        <v>0</v>
      </c>
      <c r="J140" s="49">
        <v>0</v>
      </c>
      <c r="K140" s="48">
        <f t="shared" si="8"/>
        <v>18.587399999999999</v>
      </c>
      <c r="L140" s="48">
        <v>0</v>
      </c>
      <c r="M140" s="48">
        <f t="shared" si="7"/>
        <v>1141.73</v>
      </c>
    </row>
    <row r="141" spans="2:13" x14ac:dyDescent="0.35">
      <c r="B141" s="60" t="s">
        <v>208</v>
      </c>
      <c r="C141" s="48">
        <f>577.59</f>
        <v>577.59</v>
      </c>
      <c r="D141" s="48">
        <v>0</v>
      </c>
      <c r="E141" s="48">
        <v>0</v>
      </c>
      <c r="F141" s="48">
        <v>363.32</v>
      </c>
      <c r="G141" s="48">
        <v>65.599999999999994</v>
      </c>
      <c r="H141" s="48">
        <v>0</v>
      </c>
      <c r="I141" s="48">
        <v>0</v>
      </c>
      <c r="J141" s="49">
        <v>0</v>
      </c>
      <c r="K141" s="48">
        <f t="shared" si="8"/>
        <v>34.6554</v>
      </c>
      <c r="L141" s="48">
        <v>0</v>
      </c>
      <c r="M141" s="48">
        <f t="shared" si="7"/>
        <v>1006.5100000000001</v>
      </c>
    </row>
    <row r="142" spans="2:13" x14ac:dyDescent="0.35">
      <c r="B142" s="60" t="s">
        <v>39</v>
      </c>
      <c r="C142" s="48">
        <v>0</v>
      </c>
      <c r="D142" s="48">
        <v>0</v>
      </c>
      <c r="E142" s="48">
        <v>0</v>
      </c>
      <c r="F142" s="48">
        <v>0</v>
      </c>
      <c r="G142" s="48">
        <v>0</v>
      </c>
      <c r="H142" s="48">
        <v>0</v>
      </c>
      <c r="I142" s="48">
        <v>0</v>
      </c>
      <c r="J142" s="49">
        <v>0</v>
      </c>
      <c r="K142" s="48">
        <f t="shared" si="8"/>
        <v>0</v>
      </c>
      <c r="L142" s="48">
        <v>0</v>
      </c>
      <c r="M142" s="48">
        <f t="shared" si="7"/>
        <v>0</v>
      </c>
    </row>
    <row r="143" spans="2:13" x14ac:dyDescent="0.35">
      <c r="B143" s="60" t="s">
        <v>40</v>
      </c>
      <c r="C143" s="48">
        <f>499.57</f>
        <v>499.57</v>
      </c>
      <c r="D143" s="48">
        <v>63.65</v>
      </c>
      <c r="E143" s="48">
        <v>0</v>
      </c>
      <c r="F143" s="48">
        <v>359.67</v>
      </c>
      <c r="G143" s="48">
        <v>64.989999999999995</v>
      </c>
      <c r="H143" s="48">
        <v>0</v>
      </c>
      <c r="I143" s="48">
        <v>0</v>
      </c>
      <c r="J143" s="49">
        <v>0</v>
      </c>
      <c r="K143" s="48">
        <f t="shared" si="8"/>
        <v>33.793199999999999</v>
      </c>
      <c r="L143" s="48">
        <v>0</v>
      </c>
      <c r="M143" s="48">
        <f t="shared" si="7"/>
        <v>987.88000000000011</v>
      </c>
    </row>
    <row r="144" spans="2:13" x14ac:dyDescent="0.35">
      <c r="B144" s="60" t="s">
        <v>209</v>
      </c>
      <c r="C144" s="48">
        <f>443.31</f>
        <v>443.31</v>
      </c>
      <c r="D144" s="48">
        <v>0</v>
      </c>
      <c r="E144" s="48">
        <v>0</v>
      </c>
      <c r="F144" s="48">
        <v>371.03</v>
      </c>
      <c r="G144" s="48">
        <v>64.25</v>
      </c>
      <c r="H144" s="48">
        <v>0</v>
      </c>
      <c r="I144" s="48">
        <v>0</v>
      </c>
      <c r="J144" s="49">
        <v>0</v>
      </c>
      <c r="K144" s="48">
        <f t="shared" si="8"/>
        <v>26.598599999999998</v>
      </c>
      <c r="L144" s="48">
        <v>0</v>
      </c>
      <c r="M144" s="48">
        <f t="shared" si="7"/>
        <v>878.58999999999992</v>
      </c>
    </row>
    <row r="145" spans="2:13" x14ac:dyDescent="0.35">
      <c r="B145" s="60" t="s">
        <v>210</v>
      </c>
      <c r="C145" s="48">
        <f>564.24-229.07</f>
        <v>335.17</v>
      </c>
      <c r="D145" s="48">
        <v>0</v>
      </c>
      <c r="E145" s="48">
        <v>0</v>
      </c>
      <c r="F145" s="48">
        <v>439.13</v>
      </c>
      <c r="G145" s="48">
        <v>75.7</v>
      </c>
      <c r="H145" s="48">
        <v>0</v>
      </c>
      <c r="I145" s="48">
        <v>0</v>
      </c>
      <c r="J145" s="49">
        <v>0</v>
      </c>
      <c r="K145" s="48">
        <f t="shared" si="8"/>
        <v>20.110199999999999</v>
      </c>
      <c r="L145" s="48">
        <v>564.24</v>
      </c>
      <c r="M145" s="48">
        <f t="shared" si="7"/>
        <v>1414.24</v>
      </c>
    </row>
    <row r="146" spans="2:13" x14ac:dyDescent="0.35">
      <c r="B146" s="60" t="s">
        <v>211</v>
      </c>
      <c r="C146" s="48">
        <v>484.12</v>
      </c>
      <c r="D146" s="48">
        <v>0</v>
      </c>
      <c r="E146" s="48">
        <v>0</v>
      </c>
      <c r="F146" s="48">
        <v>388.63</v>
      </c>
      <c r="G146" s="48">
        <v>73.22</v>
      </c>
      <c r="H146" s="48">
        <v>0</v>
      </c>
      <c r="I146" s="48">
        <v>0</v>
      </c>
      <c r="J146" s="49">
        <v>0</v>
      </c>
      <c r="K146" s="48">
        <f t="shared" si="8"/>
        <v>29.0472</v>
      </c>
      <c r="L146" s="48">
        <v>0</v>
      </c>
      <c r="M146" s="48">
        <f t="shared" si="7"/>
        <v>945.97</v>
      </c>
    </row>
    <row r="147" spans="2:13" x14ac:dyDescent="0.35">
      <c r="B147" s="60" t="s">
        <v>41</v>
      </c>
      <c r="C147" s="48">
        <f>662.19</f>
        <v>662.19</v>
      </c>
      <c r="D147" s="48">
        <v>0</v>
      </c>
      <c r="E147" s="48">
        <v>0</v>
      </c>
      <c r="F147" s="48">
        <v>197.28</v>
      </c>
      <c r="G147" s="48">
        <v>37.159999999999997</v>
      </c>
      <c r="H147" s="48">
        <v>0</v>
      </c>
      <c r="I147" s="48">
        <v>0</v>
      </c>
      <c r="J147" s="49">
        <v>0</v>
      </c>
      <c r="K147" s="48">
        <f t="shared" si="8"/>
        <v>39.731400000000001</v>
      </c>
      <c r="L147" s="48">
        <v>0</v>
      </c>
      <c r="M147" s="48">
        <f t="shared" si="7"/>
        <v>896.63</v>
      </c>
    </row>
    <row r="148" spans="2:13" x14ac:dyDescent="0.35">
      <c r="B148" s="60" t="s">
        <v>42</v>
      </c>
      <c r="C148" s="48">
        <v>0</v>
      </c>
      <c r="D148" s="48">
        <v>0</v>
      </c>
      <c r="E148" s="48">
        <v>0</v>
      </c>
      <c r="F148" s="48">
        <v>0</v>
      </c>
      <c r="G148" s="48">
        <v>0</v>
      </c>
      <c r="H148" s="48">
        <v>0</v>
      </c>
      <c r="I148" s="48">
        <v>0</v>
      </c>
      <c r="J148" s="49">
        <v>0</v>
      </c>
      <c r="K148" s="48">
        <f t="shared" si="8"/>
        <v>0</v>
      </c>
      <c r="L148" s="48">
        <v>0</v>
      </c>
      <c r="M148" s="48">
        <f t="shared" si="7"/>
        <v>0</v>
      </c>
    </row>
    <row r="149" spans="2:13" x14ac:dyDescent="0.35">
      <c r="B149" s="60" t="s">
        <v>43</v>
      </c>
      <c r="C149" s="48">
        <v>441.43</v>
      </c>
      <c r="D149" s="48">
        <v>0</v>
      </c>
      <c r="E149" s="48">
        <v>0</v>
      </c>
      <c r="F149" s="48">
        <v>390.7</v>
      </c>
      <c r="G149" s="48">
        <v>74.77</v>
      </c>
      <c r="H149" s="48">
        <v>0</v>
      </c>
      <c r="I149" s="48">
        <v>0</v>
      </c>
      <c r="J149" s="49">
        <v>0</v>
      </c>
      <c r="K149" s="48">
        <f t="shared" si="8"/>
        <v>26.485800000000001</v>
      </c>
      <c r="L149" s="48">
        <v>0</v>
      </c>
      <c r="M149" s="48">
        <f t="shared" si="7"/>
        <v>906.9</v>
      </c>
    </row>
    <row r="150" spans="2:13" x14ac:dyDescent="0.35">
      <c r="B150" s="60" t="s">
        <v>43</v>
      </c>
      <c r="C150" s="48">
        <v>0</v>
      </c>
      <c r="D150" s="48">
        <v>0</v>
      </c>
      <c r="E150" s="48">
        <v>391.55</v>
      </c>
      <c r="F150" s="48">
        <v>0</v>
      </c>
      <c r="G150" s="48">
        <v>0</v>
      </c>
      <c r="H150" s="48">
        <v>0</v>
      </c>
      <c r="I150" s="48">
        <v>0</v>
      </c>
      <c r="J150" s="49">
        <v>0</v>
      </c>
      <c r="K150" s="48">
        <f t="shared" si="8"/>
        <v>23.492999999999999</v>
      </c>
      <c r="L150" s="48">
        <v>0</v>
      </c>
      <c r="M150" s="48">
        <f t="shared" si="7"/>
        <v>391.55</v>
      </c>
    </row>
    <row r="151" spans="2:13" x14ac:dyDescent="0.35">
      <c r="B151" s="60" t="s">
        <v>212</v>
      </c>
      <c r="C151" s="48">
        <v>0</v>
      </c>
      <c r="D151" s="48">
        <v>0</v>
      </c>
      <c r="E151" s="48">
        <v>0</v>
      </c>
      <c r="F151" s="48">
        <v>0</v>
      </c>
      <c r="G151" s="48">
        <v>0</v>
      </c>
      <c r="H151" s="48">
        <v>0</v>
      </c>
      <c r="I151" s="48">
        <v>0</v>
      </c>
      <c r="J151" s="49">
        <v>0</v>
      </c>
      <c r="K151" s="48">
        <f t="shared" si="8"/>
        <v>0</v>
      </c>
      <c r="L151" s="48">
        <v>0</v>
      </c>
      <c r="M151" s="48">
        <f t="shared" si="7"/>
        <v>0</v>
      </c>
    </row>
    <row r="152" spans="2:13" x14ac:dyDescent="0.35">
      <c r="B152" s="60" t="s">
        <v>213</v>
      </c>
      <c r="C152" s="48">
        <v>0</v>
      </c>
      <c r="D152" s="48">
        <v>0</v>
      </c>
      <c r="E152" s="48">
        <v>0</v>
      </c>
      <c r="F152" s="48">
        <v>0</v>
      </c>
      <c r="G152" s="48">
        <v>0</v>
      </c>
      <c r="H152" s="48">
        <v>0</v>
      </c>
      <c r="I152" s="48">
        <v>0</v>
      </c>
      <c r="J152" s="49">
        <v>0</v>
      </c>
      <c r="K152" s="48">
        <f t="shared" si="8"/>
        <v>0</v>
      </c>
      <c r="L152" s="48">
        <v>0</v>
      </c>
      <c r="M152" s="48">
        <f t="shared" si="7"/>
        <v>0</v>
      </c>
    </row>
    <row r="153" spans="2:13" x14ac:dyDescent="0.35">
      <c r="B153" s="60" t="s">
        <v>214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9">
        <v>0</v>
      </c>
      <c r="K153" s="48">
        <f t="shared" si="8"/>
        <v>0</v>
      </c>
      <c r="L153" s="48">
        <v>0</v>
      </c>
      <c r="M153" s="48">
        <f t="shared" si="7"/>
        <v>0</v>
      </c>
    </row>
    <row r="154" spans="2:13" x14ac:dyDescent="0.35">
      <c r="B154" s="60" t="s">
        <v>215</v>
      </c>
      <c r="C154" s="48">
        <v>381.53</v>
      </c>
      <c r="D154" s="48">
        <v>0</v>
      </c>
      <c r="E154" s="48">
        <v>0</v>
      </c>
      <c r="F154" s="48">
        <v>706.88</v>
      </c>
      <c r="G154" s="48">
        <v>120.06</v>
      </c>
      <c r="H154" s="48">
        <v>0</v>
      </c>
      <c r="I154" s="48">
        <v>0</v>
      </c>
      <c r="J154" s="49">
        <v>0</v>
      </c>
      <c r="K154" s="48">
        <f t="shared" si="8"/>
        <v>22.891799999999996</v>
      </c>
      <c r="L154" s="48">
        <v>0</v>
      </c>
      <c r="M154" s="48">
        <f t="shared" si="7"/>
        <v>1208.4699999999998</v>
      </c>
    </row>
    <row r="155" spans="2:13" x14ac:dyDescent="0.35">
      <c r="B155" s="60" t="s">
        <v>216</v>
      </c>
      <c r="C155" s="48">
        <v>682.51</v>
      </c>
      <c r="D155" s="48">
        <v>82.08</v>
      </c>
      <c r="E155" s="48">
        <v>0</v>
      </c>
      <c r="F155" s="48">
        <v>363.32</v>
      </c>
      <c r="G155" s="48">
        <v>65.599999999999994</v>
      </c>
      <c r="H155" s="48">
        <v>0</v>
      </c>
      <c r="I155" s="48">
        <v>0</v>
      </c>
      <c r="J155" s="49">
        <v>0</v>
      </c>
      <c r="K155" s="48">
        <f t="shared" si="8"/>
        <v>45.875399999999999</v>
      </c>
      <c r="L155" s="48">
        <v>0</v>
      </c>
      <c r="M155" s="48">
        <f t="shared" si="7"/>
        <v>1193.51</v>
      </c>
    </row>
    <row r="156" spans="2:13" x14ac:dyDescent="0.35">
      <c r="B156" s="60" t="s">
        <v>216</v>
      </c>
      <c r="C156" s="48">
        <v>0</v>
      </c>
      <c r="D156" s="48">
        <v>0</v>
      </c>
      <c r="E156" s="48">
        <v>642.57000000000005</v>
      </c>
      <c r="F156" s="48">
        <v>0</v>
      </c>
      <c r="G156" s="48">
        <v>0</v>
      </c>
      <c r="H156" s="48">
        <v>0</v>
      </c>
      <c r="I156" s="48">
        <v>0</v>
      </c>
      <c r="J156" s="49">
        <v>0</v>
      </c>
      <c r="K156" s="48">
        <f t="shared" si="8"/>
        <v>38.554200000000002</v>
      </c>
      <c r="L156" s="48">
        <v>0</v>
      </c>
      <c r="M156" s="48">
        <f t="shared" si="7"/>
        <v>642.57000000000005</v>
      </c>
    </row>
    <row r="157" spans="2:13" x14ac:dyDescent="0.35">
      <c r="B157" s="60" t="s">
        <v>217</v>
      </c>
      <c r="C157" s="48">
        <v>479.69</v>
      </c>
      <c r="D157" s="48">
        <v>0</v>
      </c>
      <c r="E157" s="48">
        <v>0</v>
      </c>
      <c r="F157" s="48">
        <v>368.17</v>
      </c>
      <c r="G157" s="48">
        <v>66.53</v>
      </c>
      <c r="H157" s="48">
        <v>0</v>
      </c>
      <c r="I157" s="48">
        <v>0</v>
      </c>
      <c r="J157" s="49">
        <v>0</v>
      </c>
      <c r="K157" s="48">
        <f t="shared" si="8"/>
        <v>28.781399999999998</v>
      </c>
      <c r="L157" s="48">
        <v>0</v>
      </c>
      <c r="M157" s="48">
        <f t="shared" si="7"/>
        <v>914.39</v>
      </c>
    </row>
    <row r="158" spans="2:13" x14ac:dyDescent="0.35">
      <c r="B158" s="60" t="s">
        <v>218</v>
      </c>
      <c r="C158" s="48">
        <v>484.02</v>
      </c>
      <c r="D158" s="48">
        <v>0</v>
      </c>
      <c r="E158" s="48">
        <v>0</v>
      </c>
      <c r="F158" s="48">
        <v>359.67</v>
      </c>
      <c r="G158" s="48">
        <v>64.989999999999995</v>
      </c>
      <c r="H158" s="48">
        <v>0</v>
      </c>
      <c r="I158" s="48">
        <v>0</v>
      </c>
      <c r="J158" s="49">
        <v>0</v>
      </c>
      <c r="K158" s="48">
        <f t="shared" si="8"/>
        <v>29.041199999999996</v>
      </c>
      <c r="L158" s="48">
        <v>0</v>
      </c>
      <c r="M158" s="48">
        <f t="shared" si="7"/>
        <v>908.68000000000006</v>
      </c>
    </row>
    <row r="159" spans="2:13" x14ac:dyDescent="0.35">
      <c r="B159" s="60" t="s">
        <v>44</v>
      </c>
      <c r="C159" s="48">
        <v>452.44</v>
      </c>
      <c r="D159" s="48">
        <v>0</v>
      </c>
      <c r="E159" s="48">
        <v>0</v>
      </c>
      <c r="F159" s="48">
        <v>371.03</v>
      </c>
      <c r="G159" s="48">
        <v>64.25</v>
      </c>
      <c r="H159" s="48">
        <v>0</v>
      </c>
      <c r="I159" s="48">
        <v>0</v>
      </c>
      <c r="J159" s="49">
        <v>0</v>
      </c>
      <c r="K159" s="48">
        <f t="shared" si="8"/>
        <v>27.1464</v>
      </c>
      <c r="L159" s="48">
        <v>0</v>
      </c>
      <c r="M159" s="48">
        <f t="shared" si="7"/>
        <v>887.72</v>
      </c>
    </row>
    <row r="160" spans="2:13" x14ac:dyDescent="0.35">
      <c r="B160" s="60" t="s">
        <v>219</v>
      </c>
      <c r="C160" s="48">
        <v>542.96</v>
      </c>
      <c r="D160" s="48">
        <v>0</v>
      </c>
      <c r="E160" s="48">
        <v>0</v>
      </c>
      <c r="F160" s="48">
        <v>439.13</v>
      </c>
      <c r="G160" s="48">
        <v>75.7</v>
      </c>
      <c r="H160" s="48">
        <v>0</v>
      </c>
      <c r="I160" s="48">
        <v>0</v>
      </c>
      <c r="J160" s="49">
        <v>0</v>
      </c>
      <c r="K160" s="48">
        <f t="shared" si="8"/>
        <v>32.577600000000004</v>
      </c>
      <c r="L160" s="48">
        <v>0</v>
      </c>
      <c r="M160" s="48">
        <f t="shared" si="7"/>
        <v>1057.79</v>
      </c>
    </row>
    <row r="161" spans="2:13" x14ac:dyDescent="0.35">
      <c r="B161" s="60" t="s">
        <v>220</v>
      </c>
      <c r="C161" s="48">
        <v>0</v>
      </c>
      <c r="D161" s="48">
        <v>0</v>
      </c>
      <c r="E161" s="48">
        <v>0</v>
      </c>
      <c r="F161" s="48">
        <v>0</v>
      </c>
      <c r="G161" s="48">
        <v>0</v>
      </c>
      <c r="H161" s="48">
        <v>0</v>
      </c>
      <c r="I161" s="48">
        <v>0</v>
      </c>
      <c r="J161" s="49">
        <v>0</v>
      </c>
      <c r="K161" s="48">
        <f t="shared" si="8"/>
        <v>0</v>
      </c>
      <c r="L161" s="48">
        <v>0</v>
      </c>
      <c r="M161" s="48">
        <f t="shared" si="7"/>
        <v>0</v>
      </c>
    </row>
    <row r="162" spans="2:13" x14ac:dyDescent="0.35">
      <c r="B162" s="60" t="s">
        <v>221</v>
      </c>
      <c r="C162" s="48">
        <v>0</v>
      </c>
      <c r="D162" s="48">
        <v>0</v>
      </c>
      <c r="E162" s="48">
        <v>0</v>
      </c>
      <c r="F162" s="48">
        <v>0</v>
      </c>
      <c r="G162" s="48">
        <v>0</v>
      </c>
      <c r="H162" s="48">
        <v>0</v>
      </c>
      <c r="I162" s="48">
        <v>0</v>
      </c>
      <c r="J162" s="49">
        <v>0</v>
      </c>
      <c r="K162" s="48">
        <f t="shared" si="8"/>
        <v>0</v>
      </c>
      <c r="L162" s="48">
        <v>0</v>
      </c>
      <c r="M162" s="48">
        <f t="shared" si="7"/>
        <v>0</v>
      </c>
    </row>
    <row r="163" spans="2:13" x14ac:dyDescent="0.35">
      <c r="B163" s="60" t="s">
        <v>222</v>
      </c>
      <c r="C163" s="48">
        <v>480.72</v>
      </c>
      <c r="D163" s="48">
        <v>0</v>
      </c>
      <c r="E163" s="48">
        <v>0</v>
      </c>
      <c r="F163" s="48">
        <v>208.84</v>
      </c>
      <c r="G163" s="48">
        <v>39.909999999999997</v>
      </c>
      <c r="H163" s="48">
        <v>0</v>
      </c>
      <c r="I163" s="48">
        <v>0</v>
      </c>
      <c r="J163" s="49">
        <v>0</v>
      </c>
      <c r="K163" s="48">
        <f t="shared" si="8"/>
        <v>28.8432</v>
      </c>
      <c r="L163" s="48">
        <v>0</v>
      </c>
      <c r="M163" s="48">
        <f t="shared" si="7"/>
        <v>729.47</v>
      </c>
    </row>
    <row r="164" spans="2:13" x14ac:dyDescent="0.35">
      <c r="B164" s="60" t="s">
        <v>223</v>
      </c>
      <c r="C164" s="48">
        <f>487.05-45.66</f>
        <v>441.39</v>
      </c>
      <c r="D164" s="48">
        <v>0</v>
      </c>
      <c r="E164" s="48">
        <v>0</v>
      </c>
      <c r="F164" s="48">
        <v>391.29</v>
      </c>
      <c r="G164" s="48">
        <v>74.77</v>
      </c>
      <c r="H164" s="48">
        <v>0</v>
      </c>
      <c r="I164" s="48">
        <v>0</v>
      </c>
      <c r="J164" s="49">
        <v>0</v>
      </c>
      <c r="K164" s="48">
        <f t="shared" si="8"/>
        <v>26.4834</v>
      </c>
      <c r="L164" s="48">
        <v>0</v>
      </c>
      <c r="M164" s="48">
        <f t="shared" si="7"/>
        <v>907.45</v>
      </c>
    </row>
    <row r="165" spans="2:13" x14ac:dyDescent="0.35">
      <c r="B165" s="60" t="s">
        <v>45</v>
      </c>
      <c r="C165" s="48">
        <v>0</v>
      </c>
      <c r="D165" s="48">
        <v>0</v>
      </c>
      <c r="E165" s="48">
        <v>0</v>
      </c>
      <c r="F165" s="48">
        <v>0</v>
      </c>
      <c r="G165" s="48">
        <v>0</v>
      </c>
      <c r="H165" s="48">
        <v>0</v>
      </c>
      <c r="I165" s="48">
        <v>0</v>
      </c>
      <c r="J165" s="49">
        <v>0</v>
      </c>
      <c r="K165" s="48">
        <f t="shared" si="8"/>
        <v>0</v>
      </c>
      <c r="L165" s="48">
        <v>0</v>
      </c>
      <c r="M165" s="48">
        <f t="shared" si="7"/>
        <v>0</v>
      </c>
    </row>
    <row r="166" spans="2:13" x14ac:dyDescent="0.35">
      <c r="B166" s="60" t="s">
        <v>224</v>
      </c>
      <c r="C166" s="48">
        <v>0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8">
        <v>0</v>
      </c>
      <c r="J166" s="49">
        <v>0</v>
      </c>
      <c r="K166" s="48">
        <f t="shared" si="8"/>
        <v>0</v>
      </c>
      <c r="L166" s="48">
        <v>0</v>
      </c>
      <c r="M166" s="48">
        <f t="shared" si="7"/>
        <v>0</v>
      </c>
    </row>
    <row r="167" spans="2:13" x14ac:dyDescent="0.35">
      <c r="B167" s="60" t="s">
        <v>225</v>
      </c>
      <c r="C167" s="48">
        <v>448.01</v>
      </c>
      <c r="D167" s="48">
        <v>0</v>
      </c>
      <c r="E167" s="48">
        <v>0</v>
      </c>
      <c r="F167" s="48">
        <v>246.89</v>
      </c>
      <c r="G167" s="48">
        <v>41.92</v>
      </c>
      <c r="H167" s="48">
        <v>0</v>
      </c>
      <c r="I167" s="48">
        <v>0</v>
      </c>
      <c r="J167" s="49">
        <v>0</v>
      </c>
      <c r="K167" s="48">
        <f t="shared" si="8"/>
        <v>26.880599999999998</v>
      </c>
      <c r="L167" s="48">
        <v>0</v>
      </c>
      <c r="M167" s="48">
        <f t="shared" si="7"/>
        <v>736.81999999999994</v>
      </c>
    </row>
    <row r="168" spans="2:13" x14ac:dyDescent="0.35">
      <c r="B168" s="60" t="s">
        <v>46</v>
      </c>
      <c r="C168" s="48">
        <f>364.48</f>
        <v>364.48</v>
      </c>
      <c r="D168" s="48">
        <v>0</v>
      </c>
      <c r="E168" s="48">
        <v>0</v>
      </c>
      <c r="F168" s="48">
        <v>706.88</v>
      </c>
      <c r="G168" s="48">
        <v>120.06</v>
      </c>
      <c r="H168" s="48">
        <v>0</v>
      </c>
      <c r="I168" s="48">
        <v>0</v>
      </c>
      <c r="J168" s="49">
        <v>0</v>
      </c>
      <c r="K168" s="48">
        <f t="shared" si="8"/>
        <v>21.8688</v>
      </c>
      <c r="L168" s="48">
        <v>0</v>
      </c>
      <c r="M168" s="48">
        <f t="shared" si="7"/>
        <v>1191.42</v>
      </c>
    </row>
    <row r="169" spans="2:13" x14ac:dyDescent="0.35">
      <c r="B169" s="60" t="s">
        <v>226</v>
      </c>
      <c r="C169" s="48">
        <f>565.15-41.08</f>
        <v>524.06999999999994</v>
      </c>
      <c r="D169" s="48">
        <v>0</v>
      </c>
      <c r="E169" s="48">
        <v>0</v>
      </c>
      <c r="F169" s="48">
        <v>363.32</v>
      </c>
      <c r="G169" s="48">
        <v>65.599999999999994</v>
      </c>
      <c r="H169" s="48">
        <v>0</v>
      </c>
      <c r="I169" s="48">
        <v>0</v>
      </c>
      <c r="J169" s="49">
        <v>0</v>
      </c>
      <c r="K169" s="48">
        <f t="shared" si="8"/>
        <v>31.444199999999995</v>
      </c>
      <c r="L169" s="48">
        <v>0</v>
      </c>
      <c r="M169" s="48">
        <f t="shared" si="7"/>
        <v>952.9899999999999</v>
      </c>
    </row>
    <row r="170" spans="2:13" x14ac:dyDescent="0.35">
      <c r="B170" s="60" t="s">
        <v>227</v>
      </c>
      <c r="C170" s="48">
        <v>572.59</v>
      </c>
      <c r="D170" s="48">
        <v>0</v>
      </c>
      <c r="E170" s="48">
        <v>0</v>
      </c>
      <c r="F170" s="48">
        <v>368.17</v>
      </c>
      <c r="G170" s="48">
        <v>66.53</v>
      </c>
      <c r="H170" s="48">
        <v>0</v>
      </c>
      <c r="I170" s="48">
        <v>0</v>
      </c>
      <c r="J170" s="49">
        <v>0</v>
      </c>
      <c r="K170" s="48">
        <f t="shared" si="8"/>
        <v>34.355400000000003</v>
      </c>
      <c r="L170" s="48">
        <v>0</v>
      </c>
      <c r="M170" s="48">
        <f t="shared" si="7"/>
        <v>1007.29</v>
      </c>
    </row>
    <row r="171" spans="2:13" x14ac:dyDescent="0.35">
      <c r="B171" s="60" t="s">
        <v>228</v>
      </c>
      <c r="C171" s="48">
        <v>461.15</v>
      </c>
      <c r="D171" s="48">
        <v>0</v>
      </c>
      <c r="E171" s="48">
        <v>0</v>
      </c>
      <c r="F171" s="48">
        <v>359.67</v>
      </c>
      <c r="G171" s="48">
        <v>64.989999999999995</v>
      </c>
      <c r="H171" s="48">
        <v>0</v>
      </c>
      <c r="I171" s="48">
        <v>0</v>
      </c>
      <c r="J171" s="49">
        <v>0</v>
      </c>
      <c r="K171" s="48">
        <f t="shared" si="8"/>
        <v>27.668999999999997</v>
      </c>
      <c r="L171" s="48">
        <v>0</v>
      </c>
      <c r="M171" s="48">
        <f t="shared" si="7"/>
        <v>885.81</v>
      </c>
    </row>
    <row r="172" spans="2:13" x14ac:dyDescent="0.35">
      <c r="B172" s="60" t="s">
        <v>229</v>
      </c>
      <c r="C172" s="48">
        <v>718.22</v>
      </c>
      <c r="D172" s="48">
        <v>85.67</v>
      </c>
      <c r="E172" s="48">
        <v>0</v>
      </c>
      <c r="F172" s="48">
        <v>371.03</v>
      </c>
      <c r="G172" s="48">
        <v>64.25</v>
      </c>
      <c r="H172" s="48">
        <v>0</v>
      </c>
      <c r="I172" s="48">
        <v>0</v>
      </c>
      <c r="J172" s="49">
        <v>0</v>
      </c>
      <c r="K172" s="48">
        <f t="shared" si="8"/>
        <v>48.233399999999996</v>
      </c>
      <c r="L172" s="48">
        <v>0</v>
      </c>
      <c r="M172" s="48">
        <f t="shared" si="7"/>
        <v>1239.17</v>
      </c>
    </row>
    <row r="173" spans="2:13" x14ac:dyDescent="0.35">
      <c r="B173" s="60" t="s">
        <v>229</v>
      </c>
      <c r="C173" s="48">
        <v>718.22</v>
      </c>
      <c r="D173" s="48">
        <v>85.67</v>
      </c>
      <c r="E173" s="48">
        <v>0</v>
      </c>
      <c r="F173" s="48">
        <v>371.03</v>
      </c>
      <c r="G173" s="48">
        <v>64.25</v>
      </c>
      <c r="H173" s="48">
        <v>0</v>
      </c>
      <c r="I173" s="48">
        <v>0</v>
      </c>
      <c r="J173" s="49">
        <v>0</v>
      </c>
      <c r="K173" s="48">
        <f t="shared" si="8"/>
        <v>48.233399999999996</v>
      </c>
      <c r="L173" s="48">
        <v>0</v>
      </c>
      <c r="M173" s="48">
        <f t="shared" si="7"/>
        <v>1239.17</v>
      </c>
    </row>
    <row r="174" spans="2:13" x14ac:dyDescent="0.35">
      <c r="B174" s="60" t="s">
        <v>230</v>
      </c>
      <c r="C174" s="48">
        <f>547.2-99.17</f>
        <v>448.03000000000003</v>
      </c>
      <c r="D174" s="48">
        <v>0</v>
      </c>
      <c r="E174" s="48">
        <v>0</v>
      </c>
      <c r="F174" s="48">
        <v>440.12</v>
      </c>
      <c r="G174" s="48">
        <v>75.7</v>
      </c>
      <c r="H174" s="48">
        <v>0</v>
      </c>
      <c r="I174" s="48">
        <v>0</v>
      </c>
      <c r="J174" s="49">
        <v>0</v>
      </c>
      <c r="K174" s="48">
        <f t="shared" si="8"/>
        <v>26.881800000000002</v>
      </c>
      <c r="L174" s="48">
        <v>0</v>
      </c>
      <c r="M174" s="48">
        <f t="shared" si="7"/>
        <v>963.85000000000014</v>
      </c>
    </row>
    <row r="175" spans="2:13" x14ac:dyDescent="0.35">
      <c r="B175" s="60" t="s">
        <v>231</v>
      </c>
      <c r="C175" s="48">
        <v>0</v>
      </c>
      <c r="D175" s="48">
        <v>0</v>
      </c>
      <c r="E175" s="48">
        <v>0</v>
      </c>
      <c r="F175" s="48">
        <v>0</v>
      </c>
      <c r="G175" s="48">
        <v>0</v>
      </c>
      <c r="H175" s="48">
        <v>0</v>
      </c>
      <c r="I175" s="48">
        <v>0</v>
      </c>
      <c r="J175" s="49">
        <v>0</v>
      </c>
      <c r="K175" s="48">
        <f t="shared" si="8"/>
        <v>0</v>
      </c>
      <c r="L175" s="48">
        <v>0</v>
      </c>
      <c r="M175" s="48">
        <f t="shared" si="7"/>
        <v>0</v>
      </c>
    </row>
    <row r="176" spans="2:13" x14ac:dyDescent="0.35">
      <c r="B176" s="60" t="s">
        <v>232</v>
      </c>
      <c r="C176" s="48">
        <v>0</v>
      </c>
      <c r="D176" s="48">
        <v>0</v>
      </c>
      <c r="E176" s="48">
        <v>0</v>
      </c>
      <c r="F176" s="48">
        <v>0</v>
      </c>
      <c r="G176" s="48">
        <v>0</v>
      </c>
      <c r="H176" s="48">
        <v>0</v>
      </c>
      <c r="I176" s="48">
        <v>0</v>
      </c>
      <c r="J176" s="49">
        <v>0</v>
      </c>
      <c r="K176" s="48">
        <f t="shared" si="8"/>
        <v>0</v>
      </c>
      <c r="L176" s="48">
        <v>0</v>
      </c>
      <c r="M176" s="48">
        <f t="shared" si="7"/>
        <v>0</v>
      </c>
    </row>
    <row r="177" spans="2:13" x14ac:dyDescent="0.35">
      <c r="B177" s="60" t="s">
        <v>47</v>
      </c>
      <c r="C177" s="48">
        <v>0</v>
      </c>
      <c r="D177" s="48">
        <v>0</v>
      </c>
      <c r="E177" s="48">
        <v>0</v>
      </c>
      <c r="F177" s="48">
        <v>0</v>
      </c>
      <c r="G177" s="48">
        <v>0</v>
      </c>
      <c r="H177" s="48">
        <v>0</v>
      </c>
      <c r="I177" s="48">
        <v>0</v>
      </c>
      <c r="J177" s="49">
        <v>0</v>
      </c>
      <c r="K177" s="48">
        <f t="shared" si="8"/>
        <v>0</v>
      </c>
      <c r="L177" s="48">
        <v>0</v>
      </c>
      <c r="M177" s="48">
        <f t="shared" si="7"/>
        <v>0</v>
      </c>
    </row>
    <row r="178" spans="2:13" x14ac:dyDescent="0.35">
      <c r="B178" s="60" t="s">
        <v>233</v>
      </c>
      <c r="C178" s="48">
        <f>492.51</f>
        <v>492.51</v>
      </c>
      <c r="D178" s="48">
        <v>0</v>
      </c>
      <c r="E178" s="48">
        <v>0</v>
      </c>
      <c r="F178" s="48">
        <v>391.29</v>
      </c>
      <c r="G178" s="48">
        <v>75.98</v>
      </c>
      <c r="H178" s="48">
        <v>0</v>
      </c>
      <c r="I178" s="48">
        <v>0</v>
      </c>
      <c r="J178" s="49">
        <v>0</v>
      </c>
      <c r="K178" s="48">
        <f t="shared" si="8"/>
        <v>29.550599999999999</v>
      </c>
      <c r="L178" s="48">
        <v>0</v>
      </c>
      <c r="M178" s="48">
        <f t="shared" si="7"/>
        <v>959.78</v>
      </c>
    </row>
    <row r="179" spans="2:13" x14ac:dyDescent="0.35">
      <c r="B179" s="60" t="s">
        <v>234</v>
      </c>
      <c r="C179" s="48">
        <f>461.73-94.01</f>
        <v>367.72</v>
      </c>
      <c r="D179" s="48">
        <f>41.97+12.55</f>
        <v>54.519999999999996</v>
      </c>
      <c r="E179" s="48">
        <v>0</v>
      </c>
      <c r="F179" s="48">
        <v>260.04000000000002</v>
      </c>
      <c r="G179" s="48">
        <v>0</v>
      </c>
      <c r="H179" s="48">
        <v>0</v>
      </c>
      <c r="I179" s="48">
        <v>0</v>
      </c>
      <c r="J179" s="49">
        <v>0</v>
      </c>
      <c r="K179" s="48">
        <f t="shared" si="8"/>
        <v>25.334399999999999</v>
      </c>
      <c r="L179" s="48">
        <v>0</v>
      </c>
      <c r="M179" s="48">
        <f t="shared" si="7"/>
        <v>682.28</v>
      </c>
    </row>
    <row r="180" spans="2:13" x14ac:dyDescent="0.35">
      <c r="B180" s="60" t="s">
        <v>234</v>
      </c>
      <c r="C180" s="48">
        <v>461.73</v>
      </c>
      <c r="D180" s="48">
        <v>56.42</v>
      </c>
      <c r="E180" s="48">
        <v>0</v>
      </c>
      <c r="F180" s="48">
        <v>260.04000000000002</v>
      </c>
      <c r="G180" s="48">
        <v>50.49</v>
      </c>
      <c r="H180" s="48">
        <v>0</v>
      </c>
      <c r="I180" s="48">
        <v>0</v>
      </c>
      <c r="J180" s="49">
        <v>0</v>
      </c>
      <c r="K180" s="48">
        <f t="shared" si="8"/>
        <v>31.088999999999999</v>
      </c>
      <c r="L180" s="48">
        <v>0</v>
      </c>
      <c r="M180" s="48">
        <f t="shared" si="7"/>
        <v>828.68000000000006</v>
      </c>
    </row>
    <row r="181" spans="2:13" x14ac:dyDescent="0.35">
      <c r="B181" s="60" t="s">
        <v>235</v>
      </c>
      <c r="C181" s="48">
        <v>449.3</v>
      </c>
      <c r="D181" s="48">
        <v>0</v>
      </c>
      <c r="E181" s="48">
        <v>0</v>
      </c>
      <c r="F181" s="48">
        <v>195.4</v>
      </c>
      <c r="G181" s="48">
        <v>33.18</v>
      </c>
      <c r="H181" s="48">
        <v>0</v>
      </c>
      <c r="I181" s="48">
        <v>0</v>
      </c>
      <c r="J181" s="49">
        <v>0</v>
      </c>
      <c r="K181" s="48">
        <v>0</v>
      </c>
      <c r="L181" s="48">
        <v>0</v>
      </c>
      <c r="M181" s="48">
        <f t="shared" si="7"/>
        <v>677.88</v>
      </c>
    </row>
    <row r="182" spans="2:13" x14ac:dyDescent="0.35">
      <c r="B182" s="60" t="s">
        <v>236</v>
      </c>
      <c r="C182" s="48">
        <f>457.86-246.67</f>
        <v>211.19000000000003</v>
      </c>
      <c r="D182" s="48">
        <v>0</v>
      </c>
      <c r="E182" s="48">
        <v>0</v>
      </c>
      <c r="F182" s="48">
        <v>246.89</v>
      </c>
      <c r="G182" s="48">
        <v>41.92</v>
      </c>
      <c r="H182" s="48">
        <v>0</v>
      </c>
      <c r="I182" s="48">
        <v>0</v>
      </c>
      <c r="J182" s="49">
        <v>0</v>
      </c>
      <c r="K182" s="48">
        <f t="shared" si="8"/>
        <v>12.6714</v>
      </c>
      <c r="L182" s="48">
        <v>0</v>
      </c>
      <c r="M182" s="48">
        <f t="shared" si="7"/>
        <v>500.00000000000006</v>
      </c>
    </row>
    <row r="183" spans="2:13" x14ac:dyDescent="0.35">
      <c r="B183" s="60" t="s">
        <v>237</v>
      </c>
      <c r="C183" s="48">
        <f>484.55-208.47</f>
        <v>276.08000000000004</v>
      </c>
      <c r="D183" s="48">
        <v>0</v>
      </c>
      <c r="E183" s="48">
        <v>0</v>
      </c>
      <c r="F183" s="48">
        <v>706.88</v>
      </c>
      <c r="G183" s="48">
        <v>120.06</v>
      </c>
      <c r="H183" s="48">
        <v>0</v>
      </c>
      <c r="I183" s="48">
        <v>0</v>
      </c>
      <c r="J183" s="49">
        <v>0</v>
      </c>
      <c r="K183" s="48">
        <f t="shared" si="8"/>
        <v>16.564800000000002</v>
      </c>
      <c r="L183" s="48">
        <v>0</v>
      </c>
      <c r="M183" s="48">
        <f t="shared" si="7"/>
        <v>1103.02</v>
      </c>
    </row>
    <row r="184" spans="2:13" x14ac:dyDescent="0.35">
      <c r="B184" s="47" t="s">
        <v>48</v>
      </c>
      <c r="C184" s="48">
        <v>469.07</v>
      </c>
      <c r="D184" s="48">
        <v>0</v>
      </c>
      <c r="E184" s="48">
        <v>0</v>
      </c>
      <c r="F184" s="48">
        <v>363.32</v>
      </c>
      <c r="G184" s="48">
        <v>65.599999999999994</v>
      </c>
      <c r="H184" s="48">
        <v>0</v>
      </c>
      <c r="I184" s="48">
        <v>0</v>
      </c>
      <c r="J184" s="49">
        <v>0</v>
      </c>
      <c r="K184" s="48">
        <f t="shared" si="8"/>
        <v>28.144199999999998</v>
      </c>
      <c r="L184" s="48">
        <v>0</v>
      </c>
      <c r="M184" s="48">
        <f t="shared" si="7"/>
        <v>897.99</v>
      </c>
    </row>
    <row r="185" spans="2:13" x14ac:dyDescent="0.35">
      <c r="B185" s="47" t="s">
        <v>238</v>
      </c>
      <c r="C185" s="48">
        <v>474.01</v>
      </c>
      <c r="D185" s="48">
        <v>0</v>
      </c>
      <c r="E185" s="48">
        <v>0</v>
      </c>
      <c r="F185" s="48">
        <v>368.17</v>
      </c>
      <c r="G185" s="48">
        <v>66.53</v>
      </c>
      <c r="H185" s="48">
        <v>0</v>
      </c>
      <c r="I185" s="48">
        <v>0</v>
      </c>
      <c r="J185" s="49">
        <v>0</v>
      </c>
      <c r="K185" s="48">
        <f t="shared" si="8"/>
        <v>28.4406</v>
      </c>
      <c r="L185" s="48">
        <v>0</v>
      </c>
      <c r="M185" s="48">
        <f t="shared" si="7"/>
        <v>908.71</v>
      </c>
    </row>
    <row r="186" spans="2:13" x14ac:dyDescent="0.35">
      <c r="B186" s="47" t="s">
        <v>49</v>
      </c>
      <c r="C186" s="48">
        <v>557.29</v>
      </c>
      <c r="D186" s="48">
        <v>0</v>
      </c>
      <c r="E186" s="48">
        <v>0</v>
      </c>
      <c r="F186" s="48">
        <v>359.67</v>
      </c>
      <c r="G186" s="48">
        <v>64.989999999999995</v>
      </c>
      <c r="H186" s="48">
        <v>0</v>
      </c>
      <c r="I186" s="48">
        <v>0</v>
      </c>
      <c r="J186" s="49">
        <v>0</v>
      </c>
      <c r="K186" s="48">
        <f t="shared" si="8"/>
        <v>33.437399999999997</v>
      </c>
      <c r="L186" s="48">
        <v>0</v>
      </c>
      <c r="M186" s="48">
        <f t="shared" si="7"/>
        <v>981.95</v>
      </c>
    </row>
    <row r="187" spans="2:13" x14ac:dyDescent="0.35">
      <c r="B187" s="47" t="s">
        <v>239</v>
      </c>
      <c r="C187" s="48">
        <v>411.7</v>
      </c>
      <c r="D187" s="48">
        <v>52.33</v>
      </c>
      <c r="E187" s="48">
        <v>0</v>
      </c>
      <c r="F187" s="48">
        <v>229.89</v>
      </c>
      <c r="G187" s="48">
        <v>65.650000000000006</v>
      </c>
      <c r="H187" s="48">
        <v>0</v>
      </c>
      <c r="I187" s="48">
        <v>0</v>
      </c>
      <c r="J187" s="49">
        <v>0</v>
      </c>
      <c r="K187" s="48">
        <v>0</v>
      </c>
      <c r="L187" s="48">
        <v>0</v>
      </c>
      <c r="M187" s="48">
        <f t="shared" si="7"/>
        <v>759.56999999999994</v>
      </c>
    </row>
    <row r="188" spans="2:13" x14ac:dyDescent="0.35">
      <c r="B188" s="47" t="s">
        <v>50</v>
      </c>
      <c r="C188" s="48">
        <v>0</v>
      </c>
      <c r="D188" s="48">
        <v>0</v>
      </c>
      <c r="E188" s="48">
        <v>0</v>
      </c>
      <c r="F188" s="48">
        <v>0</v>
      </c>
      <c r="G188" s="48">
        <v>0</v>
      </c>
      <c r="H188" s="48">
        <v>0</v>
      </c>
      <c r="I188" s="48">
        <v>0</v>
      </c>
      <c r="J188" s="49">
        <v>0</v>
      </c>
      <c r="K188" s="48">
        <f t="shared" si="8"/>
        <v>0</v>
      </c>
      <c r="L188" s="48">
        <v>0</v>
      </c>
      <c r="M188" s="48">
        <f t="shared" si="7"/>
        <v>0</v>
      </c>
    </row>
    <row r="189" spans="2:13" x14ac:dyDescent="0.35">
      <c r="B189" s="47" t="s">
        <v>240</v>
      </c>
      <c r="C189" s="48">
        <v>408.11</v>
      </c>
      <c r="D189" s="48">
        <v>0</v>
      </c>
      <c r="E189" s="48">
        <v>0</v>
      </c>
      <c r="F189" s="48">
        <v>389.52</v>
      </c>
      <c r="G189" s="48">
        <v>73.22</v>
      </c>
      <c r="H189" s="48">
        <v>0</v>
      </c>
      <c r="I189" s="48">
        <v>0</v>
      </c>
      <c r="J189" s="49">
        <v>0</v>
      </c>
      <c r="K189" s="48">
        <f t="shared" si="8"/>
        <v>24.486599999999999</v>
      </c>
      <c r="L189" s="48">
        <v>0</v>
      </c>
      <c r="M189" s="48">
        <f t="shared" si="7"/>
        <v>870.85</v>
      </c>
    </row>
    <row r="190" spans="2:13" x14ac:dyDescent="0.35">
      <c r="B190" s="47" t="s">
        <v>241</v>
      </c>
      <c r="C190" s="48">
        <v>384.23</v>
      </c>
      <c r="D190" s="48">
        <v>0</v>
      </c>
      <c r="E190" s="48">
        <v>0</v>
      </c>
      <c r="F190" s="48">
        <v>197.28</v>
      </c>
      <c r="G190" s="48">
        <v>37.159999999999997</v>
      </c>
      <c r="H190" s="48">
        <v>0</v>
      </c>
      <c r="I190" s="48">
        <v>0</v>
      </c>
      <c r="J190" s="49">
        <v>0</v>
      </c>
      <c r="K190" s="48">
        <f t="shared" si="8"/>
        <v>23.053799999999999</v>
      </c>
      <c r="L190" s="48">
        <v>0</v>
      </c>
      <c r="M190" s="48">
        <f t="shared" si="7"/>
        <v>618.66999999999996</v>
      </c>
    </row>
    <row r="191" spans="2:13" x14ac:dyDescent="0.35">
      <c r="B191" s="47" t="s">
        <v>242</v>
      </c>
      <c r="C191" s="48">
        <v>0</v>
      </c>
      <c r="D191" s="48">
        <v>0</v>
      </c>
      <c r="E191" s="48">
        <v>0</v>
      </c>
      <c r="F191" s="48">
        <v>0</v>
      </c>
      <c r="G191" s="48">
        <v>0</v>
      </c>
      <c r="H191" s="48">
        <v>0</v>
      </c>
      <c r="I191" s="48">
        <v>0</v>
      </c>
      <c r="J191" s="49">
        <v>0</v>
      </c>
      <c r="K191" s="48">
        <f t="shared" si="8"/>
        <v>0</v>
      </c>
      <c r="L191" s="48">
        <v>0</v>
      </c>
      <c r="M191" s="48">
        <f t="shared" si="7"/>
        <v>0</v>
      </c>
    </row>
    <row r="192" spans="2:13" x14ac:dyDescent="0.35">
      <c r="B192" s="47" t="s">
        <v>51</v>
      </c>
      <c r="C192" s="48">
        <v>0</v>
      </c>
      <c r="D192" s="48">
        <v>0</v>
      </c>
      <c r="E192" s="48">
        <v>0</v>
      </c>
      <c r="F192" s="48">
        <v>0</v>
      </c>
      <c r="G192" s="48">
        <v>0</v>
      </c>
      <c r="H192" s="48">
        <v>0</v>
      </c>
      <c r="I192" s="48">
        <v>0</v>
      </c>
      <c r="J192" s="49">
        <v>0</v>
      </c>
      <c r="K192" s="48">
        <v>0</v>
      </c>
      <c r="L192" s="48">
        <v>0</v>
      </c>
      <c r="M192" s="48">
        <f t="shared" si="7"/>
        <v>0</v>
      </c>
    </row>
    <row r="193" spans="2:13" x14ac:dyDescent="0.35">
      <c r="B193" s="47" t="s">
        <v>52</v>
      </c>
      <c r="C193" s="48">
        <v>416.71</v>
      </c>
      <c r="D193" s="48">
        <v>0</v>
      </c>
      <c r="E193" s="48">
        <v>0</v>
      </c>
      <c r="F193" s="48">
        <v>260.04000000000002</v>
      </c>
      <c r="G193" s="48">
        <v>49.69</v>
      </c>
      <c r="H193" s="48">
        <v>0</v>
      </c>
      <c r="I193" s="48">
        <v>0</v>
      </c>
      <c r="J193" s="49">
        <v>0</v>
      </c>
      <c r="K193" s="48">
        <f t="shared" si="8"/>
        <v>25.002599999999997</v>
      </c>
      <c r="L193" s="48">
        <v>0</v>
      </c>
      <c r="M193" s="48">
        <f t="shared" si="7"/>
        <v>726.44</v>
      </c>
    </row>
    <row r="194" spans="2:13" x14ac:dyDescent="0.35">
      <c r="B194" s="47" t="s">
        <v>243</v>
      </c>
      <c r="C194" s="48">
        <v>438.11</v>
      </c>
      <c r="D194" s="48">
        <v>0</v>
      </c>
      <c r="E194" s="48">
        <v>0</v>
      </c>
      <c r="F194" s="48">
        <v>196.09</v>
      </c>
      <c r="G194" s="48">
        <v>33.18</v>
      </c>
      <c r="H194" s="48">
        <v>0</v>
      </c>
      <c r="I194" s="48">
        <v>0</v>
      </c>
      <c r="J194" s="49">
        <v>0</v>
      </c>
      <c r="K194" s="48">
        <f t="shared" si="8"/>
        <v>26.2866</v>
      </c>
      <c r="L194" s="48">
        <v>0</v>
      </c>
      <c r="M194" s="48">
        <f t="shared" si="7"/>
        <v>667.38</v>
      </c>
    </row>
    <row r="195" spans="2:13" x14ac:dyDescent="0.35">
      <c r="B195" s="47" t="s">
        <v>244</v>
      </c>
      <c r="C195" s="48">
        <v>0</v>
      </c>
      <c r="D195" s="48">
        <v>0</v>
      </c>
      <c r="E195" s="48">
        <v>0</v>
      </c>
      <c r="F195" s="48">
        <v>0</v>
      </c>
      <c r="G195" s="48">
        <v>0</v>
      </c>
      <c r="H195" s="48">
        <v>0</v>
      </c>
      <c r="I195" s="48">
        <v>0</v>
      </c>
      <c r="J195" s="49">
        <v>0</v>
      </c>
      <c r="K195" s="48">
        <f t="shared" si="8"/>
        <v>0</v>
      </c>
      <c r="L195" s="48">
        <v>0</v>
      </c>
      <c r="M195" s="48">
        <f t="shared" si="7"/>
        <v>0</v>
      </c>
    </row>
    <row r="196" spans="2:13" x14ac:dyDescent="0.35">
      <c r="B196" s="47" t="s">
        <v>245</v>
      </c>
      <c r="C196" s="48">
        <v>586.94000000000005</v>
      </c>
      <c r="D196" s="48">
        <v>0</v>
      </c>
      <c r="E196" s="48">
        <v>0</v>
      </c>
      <c r="F196" s="48">
        <v>706.88</v>
      </c>
      <c r="G196" s="48">
        <v>120.06</v>
      </c>
      <c r="H196" s="48">
        <v>0</v>
      </c>
      <c r="I196" s="48">
        <v>0</v>
      </c>
      <c r="J196" s="49">
        <v>0</v>
      </c>
      <c r="K196" s="48">
        <f t="shared" si="8"/>
        <v>35.2164</v>
      </c>
      <c r="L196" s="48">
        <v>0</v>
      </c>
      <c r="M196" s="48">
        <f t="shared" si="7"/>
        <v>1413.88</v>
      </c>
    </row>
    <row r="197" spans="2:13" x14ac:dyDescent="0.35">
      <c r="B197" s="47" t="s">
        <v>246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9">
        <v>0</v>
      </c>
      <c r="K197" s="48">
        <f t="shared" si="8"/>
        <v>0</v>
      </c>
      <c r="L197" s="48">
        <v>0</v>
      </c>
      <c r="M197" s="48">
        <f t="shared" si="7"/>
        <v>0</v>
      </c>
    </row>
    <row r="198" spans="2:13" x14ac:dyDescent="0.35">
      <c r="B198" s="47" t="s">
        <v>247</v>
      </c>
      <c r="C198" s="48">
        <v>0</v>
      </c>
      <c r="D198" s="48">
        <v>0</v>
      </c>
      <c r="E198" s="48">
        <v>0</v>
      </c>
      <c r="F198" s="48">
        <v>0</v>
      </c>
      <c r="G198" s="48">
        <v>0</v>
      </c>
      <c r="H198" s="48">
        <v>0</v>
      </c>
      <c r="I198" s="48">
        <v>0</v>
      </c>
      <c r="J198" s="49">
        <v>0</v>
      </c>
      <c r="K198" s="48">
        <f t="shared" si="8"/>
        <v>0</v>
      </c>
      <c r="L198" s="48">
        <v>0</v>
      </c>
      <c r="M198" s="48">
        <f t="shared" si="7"/>
        <v>0</v>
      </c>
    </row>
    <row r="199" spans="2:13" x14ac:dyDescent="0.35">
      <c r="B199" s="47" t="s">
        <v>248</v>
      </c>
      <c r="C199" s="48"/>
      <c r="D199" s="48"/>
      <c r="E199" s="48"/>
      <c r="F199" s="48">
        <v>0</v>
      </c>
      <c r="G199" s="48">
        <v>0</v>
      </c>
      <c r="H199" s="48"/>
      <c r="I199" s="48"/>
      <c r="J199" s="49"/>
      <c r="K199" s="48">
        <f t="shared" si="8"/>
        <v>0</v>
      </c>
      <c r="L199" s="48"/>
      <c r="M199" s="48">
        <f t="shared" si="7"/>
        <v>0</v>
      </c>
    </row>
    <row r="200" spans="2:13" x14ac:dyDescent="0.35">
      <c r="B200" s="47" t="s">
        <v>249</v>
      </c>
      <c r="C200" s="48">
        <v>952.24</v>
      </c>
      <c r="D200" s="48">
        <v>123.7</v>
      </c>
      <c r="E200" s="48">
        <v>0</v>
      </c>
      <c r="F200" s="48">
        <v>773.1</v>
      </c>
      <c r="G200" s="48">
        <v>130.1</v>
      </c>
      <c r="H200" s="48">
        <v>0</v>
      </c>
      <c r="I200" s="48">
        <v>0</v>
      </c>
      <c r="J200" s="49">
        <v>0</v>
      </c>
      <c r="K200" s="48">
        <f t="shared" si="8"/>
        <v>64.556399999999996</v>
      </c>
      <c r="L200" s="48">
        <v>0</v>
      </c>
      <c r="M200" s="48">
        <f t="shared" ref="M200:M263" si="9">C200+D200+E200+F200+G200+H200+J200+L200-I200</f>
        <v>1979.1399999999999</v>
      </c>
    </row>
    <row r="201" spans="2:13" x14ac:dyDescent="0.35">
      <c r="B201" s="47" t="s">
        <v>249</v>
      </c>
      <c r="C201" s="48">
        <v>952.24</v>
      </c>
      <c r="D201" s="48">
        <f>110.69+51.76</f>
        <v>162.44999999999999</v>
      </c>
      <c r="E201" s="48">
        <v>0</v>
      </c>
      <c r="F201" s="48">
        <v>773.1</v>
      </c>
      <c r="G201" s="48">
        <v>0</v>
      </c>
      <c r="H201" s="48">
        <v>0</v>
      </c>
      <c r="I201" s="48">
        <v>0</v>
      </c>
      <c r="J201" s="49">
        <v>0</v>
      </c>
      <c r="K201" s="48">
        <f t="shared" si="8"/>
        <v>66.881399999999999</v>
      </c>
      <c r="L201" s="48">
        <v>0</v>
      </c>
      <c r="M201" s="48">
        <f t="shared" si="9"/>
        <v>1887.79</v>
      </c>
    </row>
    <row r="202" spans="2:13" x14ac:dyDescent="0.35">
      <c r="B202" s="47" t="s">
        <v>250</v>
      </c>
      <c r="C202" s="48">
        <f>753.27-32.48</f>
        <v>720.79</v>
      </c>
      <c r="D202" s="48">
        <v>0</v>
      </c>
      <c r="E202" s="48">
        <v>0</v>
      </c>
      <c r="F202" s="48">
        <v>414.82</v>
      </c>
      <c r="G202" s="48">
        <v>74.900000000000006</v>
      </c>
      <c r="H202" s="48">
        <v>0</v>
      </c>
      <c r="I202" s="48">
        <v>0</v>
      </c>
      <c r="J202" s="49">
        <v>0</v>
      </c>
      <c r="K202" s="48">
        <f t="shared" si="8"/>
        <v>43.247399999999999</v>
      </c>
      <c r="L202" s="48">
        <v>0</v>
      </c>
      <c r="M202" s="48">
        <f t="shared" si="9"/>
        <v>1210.51</v>
      </c>
    </row>
    <row r="203" spans="2:13" x14ac:dyDescent="0.35">
      <c r="B203" s="47" t="s">
        <v>251</v>
      </c>
      <c r="C203" s="48">
        <v>646.59</v>
      </c>
      <c r="D203" s="48">
        <v>0</v>
      </c>
      <c r="E203" s="48">
        <v>0</v>
      </c>
      <c r="F203" s="48">
        <v>438.93</v>
      </c>
      <c r="G203" s="48">
        <v>74.900000000000006</v>
      </c>
      <c r="H203" s="48">
        <v>0</v>
      </c>
      <c r="I203" s="48">
        <v>0</v>
      </c>
      <c r="J203" s="49">
        <v>0</v>
      </c>
      <c r="K203" s="48">
        <f t="shared" ref="K203:K266" si="10">(C203+D203+E203)*6%</f>
        <v>38.795400000000001</v>
      </c>
      <c r="L203" s="48">
        <v>0</v>
      </c>
      <c r="M203" s="48">
        <f t="shared" si="9"/>
        <v>1160.42</v>
      </c>
    </row>
    <row r="204" spans="2:13" x14ac:dyDescent="0.35">
      <c r="B204" s="47" t="s">
        <v>251</v>
      </c>
      <c r="C204" s="48">
        <v>646.59</v>
      </c>
      <c r="D204" s="48">
        <v>0</v>
      </c>
      <c r="E204" s="48">
        <v>0</v>
      </c>
      <c r="F204" s="48">
        <v>438.93</v>
      </c>
      <c r="G204" s="48">
        <v>74.900000000000006</v>
      </c>
      <c r="H204" s="48">
        <v>0</v>
      </c>
      <c r="I204" s="48">
        <v>0</v>
      </c>
      <c r="J204" s="49">
        <v>0</v>
      </c>
      <c r="K204" s="48">
        <f t="shared" si="10"/>
        <v>38.795400000000001</v>
      </c>
      <c r="L204" s="48">
        <v>0</v>
      </c>
      <c r="M204" s="48">
        <f t="shared" si="9"/>
        <v>1160.42</v>
      </c>
    </row>
    <row r="205" spans="2:13" x14ac:dyDescent="0.35">
      <c r="B205" s="47" t="s">
        <v>53</v>
      </c>
      <c r="C205" s="48">
        <v>0</v>
      </c>
      <c r="D205" s="48">
        <v>0</v>
      </c>
      <c r="E205" s="48">
        <v>0</v>
      </c>
      <c r="F205" s="48">
        <v>0</v>
      </c>
      <c r="G205" s="48">
        <v>0</v>
      </c>
      <c r="H205" s="48">
        <v>0</v>
      </c>
      <c r="I205" s="48">
        <v>0</v>
      </c>
      <c r="J205" s="49">
        <v>0</v>
      </c>
      <c r="K205" s="48">
        <f t="shared" si="10"/>
        <v>0</v>
      </c>
      <c r="L205" s="48">
        <v>0</v>
      </c>
      <c r="M205" s="48">
        <f t="shared" si="9"/>
        <v>0</v>
      </c>
    </row>
    <row r="206" spans="2:13" x14ac:dyDescent="0.35">
      <c r="B206" s="60" t="s">
        <v>252</v>
      </c>
      <c r="C206" s="48">
        <v>0</v>
      </c>
      <c r="D206" s="48">
        <v>0</v>
      </c>
      <c r="E206" s="48">
        <v>0</v>
      </c>
      <c r="F206" s="48">
        <v>1034.1300000000001</v>
      </c>
      <c r="G206" s="48">
        <v>185.29</v>
      </c>
      <c r="H206" s="48">
        <v>0</v>
      </c>
      <c r="I206" s="48">
        <v>0</v>
      </c>
      <c r="J206" s="49">
        <v>0</v>
      </c>
      <c r="K206" s="48">
        <f t="shared" si="10"/>
        <v>0</v>
      </c>
      <c r="L206" s="48">
        <v>0</v>
      </c>
      <c r="M206" s="48">
        <f t="shared" si="9"/>
        <v>1219.42</v>
      </c>
    </row>
    <row r="207" spans="2:13" x14ac:dyDescent="0.35">
      <c r="B207" s="60" t="s">
        <v>253</v>
      </c>
      <c r="C207" s="48">
        <v>0</v>
      </c>
      <c r="D207" s="48">
        <v>0</v>
      </c>
      <c r="E207" s="48">
        <v>0</v>
      </c>
      <c r="F207" s="48">
        <v>0</v>
      </c>
      <c r="G207" s="48">
        <v>0</v>
      </c>
      <c r="H207" s="48">
        <v>0</v>
      </c>
      <c r="I207" s="48">
        <v>0</v>
      </c>
      <c r="J207" s="49">
        <v>0</v>
      </c>
      <c r="K207" s="48">
        <f t="shared" si="10"/>
        <v>0</v>
      </c>
      <c r="L207" s="48">
        <v>0</v>
      </c>
      <c r="M207" s="48">
        <f t="shared" si="9"/>
        <v>0</v>
      </c>
    </row>
    <row r="208" spans="2:13" x14ac:dyDescent="0.35">
      <c r="B208" s="60" t="s">
        <v>254</v>
      </c>
      <c r="C208" s="48">
        <v>0</v>
      </c>
      <c r="D208" s="48">
        <v>0</v>
      </c>
      <c r="E208" s="48">
        <v>0</v>
      </c>
      <c r="F208" s="48">
        <v>0</v>
      </c>
      <c r="G208" s="48">
        <v>0</v>
      </c>
      <c r="H208" s="48">
        <v>0</v>
      </c>
      <c r="I208" s="48">
        <v>0</v>
      </c>
      <c r="J208" s="49">
        <v>0</v>
      </c>
      <c r="K208" s="48">
        <f t="shared" si="10"/>
        <v>0</v>
      </c>
      <c r="L208" s="48">
        <v>0</v>
      </c>
      <c r="M208" s="48">
        <f t="shared" si="9"/>
        <v>0</v>
      </c>
    </row>
    <row r="209" spans="2:13" x14ac:dyDescent="0.35">
      <c r="B209" s="60" t="s">
        <v>255</v>
      </c>
      <c r="C209" s="48">
        <v>0</v>
      </c>
      <c r="D209" s="48">
        <v>0</v>
      </c>
      <c r="E209" s="48">
        <v>0</v>
      </c>
      <c r="F209" s="48">
        <v>0</v>
      </c>
      <c r="G209" s="48">
        <v>0</v>
      </c>
      <c r="H209" s="48">
        <v>0</v>
      </c>
      <c r="I209" s="48">
        <v>0</v>
      </c>
      <c r="J209" s="49">
        <v>0</v>
      </c>
      <c r="K209" s="48">
        <f t="shared" si="10"/>
        <v>0</v>
      </c>
      <c r="L209" s="48">
        <v>0</v>
      </c>
      <c r="M209" s="48">
        <f t="shared" si="9"/>
        <v>0</v>
      </c>
    </row>
    <row r="210" spans="2:13" x14ac:dyDescent="0.35">
      <c r="B210" s="60" t="s">
        <v>256</v>
      </c>
      <c r="C210" s="48">
        <v>0</v>
      </c>
      <c r="D210" s="48">
        <v>0</v>
      </c>
      <c r="E210" s="48">
        <v>0</v>
      </c>
      <c r="F210" s="48">
        <v>0</v>
      </c>
      <c r="G210" s="48">
        <v>0</v>
      </c>
      <c r="H210" s="48">
        <v>0</v>
      </c>
      <c r="I210" s="48">
        <v>0</v>
      </c>
      <c r="J210" s="49">
        <v>0</v>
      </c>
      <c r="K210" s="48">
        <f t="shared" si="10"/>
        <v>0</v>
      </c>
      <c r="L210" s="48">
        <v>0</v>
      </c>
      <c r="M210" s="48">
        <f t="shared" si="9"/>
        <v>0</v>
      </c>
    </row>
    <row r="211" spans="2:13" x14ac:dyDescent="0.35">
      <c r="B211" s="60" t="s">
        <v>257</v>
      </c>
      <c r="C211" s="48">
        <v>836.35</v>
      </c>
      <c r="D211" s="48">
        <v>0</v>
      </c>
      <c r="E211" s="48">
        <v>0</v>
      </c>
      <c r="F211" s="48">
        <v>438.93</v>
      </c>
      <c r="G211" s="48">
        <v>74.599999999999994</v>
      </c>
      <c r="H211" s="48">
        <v>0</v>
      </c>
      <c r="I211" s="48">
        <v>0</v>
      </c>
      <c r="J211" s="49">
        <v>0</v>
      </c>
      <c r="K211" s="48">
        <f t="shared" si="10"/>
        <v>50.180999999999997</v>
      </c>
      <c r="L211" s="48">
        <v>0</v>
      </c>
      <c r="M211" s="48">
        <f t="shared" si="9"/>
        <v>1349.8799999999999</v>
      </c>
    </row>
    <row r="212" spans="2:13" x14ac:dyDescent="0.35">
      <c r="B212" s="60" t="s">
        <v>258</v>
      </c>
      <c r="C212" s="48">
        <v>602.03</v>
      </c>
      <c r="D212" s="48">
        <v>0</v>
      </c>
      <c r="E212" s="48">
        <v>0</v>
      </c>
      <c r="F212" s="48">
        <v>356.76</v>
      </c>
      <c r="G212" s="48">
        <v>60.97</v>
      </c>
      <c r="H212" s="48">
        <v>0</v>
      </c>
      <c r="I212" s="48">
        <v>0</v>
      </c>
      <c r="J212" s="49">
        <v>0</v>
      </c>
      <c r="K212" s="48">
        <f t="shared" si="10"/>
        <v>36.1218</v>
      </c>
      <c r="L212" s="48">
        <v>0</v>
      </c>
      <c r="M212" s="48">
        <f t="shared" si="9"/>
        <v>1019.76</v>
      </c>
    </row>
    <row r="213" spans="2:13" x14ac:dyDescent="0.35">
      <c r="B213" s="60" t="s">
        <v>259</v>
      </c>
      <c r="C213" s="48">
        <v>0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8">
        <v>0</v>
      </c>
      <c r="J213" s="49">
        <v>0</v>
      </c>
      <c r="K213" s="48">
        <f t="shared" si="10"/>
        <v>0</v>
      </c>
      <c r="L213" s="48">
        <v>0</v>
      </c>
      <c r="M213" s="48">
        <f t="shared" si="9"/>
        <v>0</v>
      </c>
    </row>
    <row r="214" spans="2:13" x14ac:dyDescent="0.35">
      <c r="B214" s="60" t="s">
        <v>260</v>
      </c>
      <c r="C214" s="48">
        <v>0</v>
      </c>
      <c r="D214" s="48">
        <v>0</v>
      </c>
      <c r="E214" s="48">
        <v>0</v>
      </c>
      <c r="F214" s="48">
        <v>0</v>
      </c>
      <c r="G214" s="48">
        <v>0</v>
      </c>
      <c r="H214" s="48">
        <v>0</v>
      </c>
      <c r="I214" s="48">
        <v>0</v>
      </c>
      <c r="J214" s="49">
        <v>0</v>
      </c>
      <c r="K214" s="48">
        <f t="shared" si="10"/>
        <v>0</v>
      </c>
      <c r="L214" s="48">
        <v>0</v>
      </c>
      <c r="M214" s="48">
        <f t="shared" si="9"/>
        <v>0</v>
      </c>
    </row>
    <row r="215" spans="2:13" x14ac:dyDescent="0.35">
      <c r="B215" s="60" t="s">
        <v>261</v>
      </c>
      <c r="C215" s="48">
        <v>959.97</v>
      </c>
      <c r="D215" s="48">
        <v>0</v>
      </c>
      <c r="E215" s="48">
        <v>0</v>
      </c>
      <c r="F215" s="48">
        <v>471.06</v>
      </c>
      <c r="G215" s="48">
        <v>86.73</v>
      </c>
      <c r="H215" s="48">
        <v>0</v>
      </c>
      <c r="I215" s="48">
        <v>0</v>
      </c>
      <c r="J215" s="49">
        <v>0</v>
      </c>
      <c r="K215" s="48">
        <f t="shared" si="10"/>
        <v>57.598199999999999</v>
      </c>
      <c r="L215" s="48">
        <v>0</v>
      </c>
      <c r="M215" s="48">
        <f t="shared" si="9"/>
        <v>1517.76</v>
      </c>
    </row>
    <row r="216" spans="2:13" x14ac:dyDescent="0.35">
      <c r="B216" s="60" t="s">
        <v>262</v>
      </c>
      <c r="C216" s="48">
        <v>0</v>
      </c>
      <c r="D216" s="48">
        <v>0</v>
      </c>
      <c r="E216" s="48">
        <v>0</v>
      </c>
      <c r="F216" s="48">
        <v>0</v>
      </c>
      <c r="G216" s="48">
        <v>0</v>
      </c>
      <c r="H216" s="48">
        <v>0</v>
      </c>
      <c r="I216" s="48">
        <v>0</v>
      </c>
      <c r="J216" s="49">
        <v>0</v>
      </c>
      <c r="K216" s="48">
        <f t="shared" si="10"/>
        <v>0</v>
      </c>
      <c r="L216" s="48">
        <v>0</v>
      </c>
      <c r="M216" s="48">
        <f t="shared" si="9"/>
        <v>0</v>
      </c>
    </row>
    <row r="217" spans="2:13" x14ac:dyDescent="0.35">
      <c r="B217" s="60" t="s">
        <v>263</v>
      </c>
      <c r="C217" s="48">
        <v>0</v>
      </c>
      <c r="D217" s="48">
        <v>0</v>
      </c>
      <c r="E217" s="48">
        <v>0</v>
      </c>
      <c r="F217" s="48">
        <v>286.43</v>
      </c>
      <c r="G217" s="48">
        <v>94.27</v>
      </c>
      <c r="H217" s="48">
        <v>0</v>
      </c>
      <c r="I217" s="48">
        <v>0</v>
      </c>
      <c r="J217" s="49">
        <v>0</v>
      </c>
      <c r="K217" s="48">
        <f t="shared" si="10"/>
        <v>0</v>
      </c>
      <c r="L217" s="48">
        <v>0</v>
      </c>
      <c r="M217" s="48">
        <f t="shared" si="9"/>
        <v>380.7</v>
      </c>
    </row>
    <row r="218" spans="2:13" x14ac:dyDescent="0.35">
      <c r="B218" s="60" t="s">
        <v>264</v>
      </c>
      <c r="C218" s="48">
        <v>720.51</v>
      </c>
      <c r="D218" s="48">
        <v>0</v>
      </c>
      <c r="E218" s="48">
        <v>0</v>
      </c>
      <c r="F218" s="48">
        <v>497.25</v>
      </c>
      <c r="G218" s="48">
        <v>84.76</v>
      </c>
      <c r="H218" s="48">
        <v>0</v>
      </c>
      <c r="I218" s="48">
        <v>0</v>
      </c>
      <c r="J218" s="49">
        <v>0</v>
      </c>
      <c r="K218" s="48">
        <f t="shared" si="10"/>
        <v>43.230599999999995</v>
      </c>
      <c r="L218" s="48">
        <v>0</v>
      </c>
      <c r="M218" s="48">
        <f t="shared" si="9"/>
        <v>1302.52</v>
      </c>
    </row>
    <row r="219" spans="2:13" x14ac:dyDescent="0.35">
      <c r="B219" s="60" t="s">
        <v>265</v>
      </c>
      <c r="C219" s="48">
        <v>0</v>
      </c>
      <c r="D219" s="48">
        <v>0</v>
      </c>
      <c r="E219" s="48">
        <v>0</v>
      </c>
      <c r="F219" s="48">
        <v>0</v>
      </c>
      <c r="G219" s="48">
        <v>0</v>
      </c>
      <c r="H219" s="48">
        <v>0</v>
      </c>
      <c r="I219" s="48">
        <v>0</v>
      </c>
      <c r="J219" s="49">
        <v>0</v>
      </c>
      <c r="K219" s="48">
        <f t="shared" si="10"/>
        <v>0</v>
      </c>
      <c r="L219" s="48">
        <v>0</v>
      </c>
      <c r="M219" s="48">
        <f t="shared" si="9"/>
        <v>0</v>
      </c>
    </row>
    <row r="220" spans="2:13" x14ac:dyDescent="0.35">
      <c r="B220" s="60" t="s">
        <v>324</v>
      </c>
      <c r="C220" s="48">
        <v>463.55</v>
      </c>
      <c r="D220" s="48">
        <f>72.25+12.77</f>
        <v>85.02</v>
      </c>
      <c r="E220" s="48">
        <v>0</v>
      </c>
      <c r="F220" s="48">
        <v>693.44</v>
      </c>
      <c r="G220" s="48">
        <v>120.24</v>
      </c>
      <c r="H220" s="48">
        <v>0</v>
      </c>
      <c r="I220" s="48">
        <v>0</v>
      </c>
      <c r="J220" s="49">
        <v>0</v>
      </c>
      <c r="K220" s="48">
        <f t="shared" si="10"/>
        <v>32.914200000000001</v>
      </c>
      <c r="L220" s="48">
        <v>0</v>
      </c>
      <c r="M220" s="48">
        <f t="shared" si="9"/>
        <v>1362.2500000000002</v>
      </c>
    </row>
    <row r="221" spans="2:13" x14ac:dyDescent="0.35">
      <c r="B221" s="60" t="s">
        <v>325</v>
      </c>
      <c r="C221" s="48">
        <f>428.8</f>
        <v>428.8</v>
      </c>
      <c r="D221" s="48">
        <v>0</v>
      </c>
      <c r="E221" s="48">
        <v>0</v>
      </c>
      <c r="F221" s="48">
        <v>776.76</v>
      </c>
      <c r="G221" s="48">
        <v>120.54</v>
      </c>
      <c r="H221" s="48">
        <v>0</v>
      </c>
      <c r="I221" s="48">
        <v>0</v>
      </c>
      <c r="J221" s="49">
        <v>0</v>
      </c>
      <c r="K221" s="48">
        <f t="shared" si="10"/>
        <v>25.727999999999998</v>
      </c>
      <c r="L221" s="48">
        <v>0</v>
      </c>
      <c r="M221" s="48">
        <f t="shared" si="9"/>
        <v>1326.1</v>
      </c>
    </row>
    <row r="222" spans="2:13" x14ac:dyDescent="0.35">
      <c r="B222" s="60" t="s">
        <v>325</v>
      </c>
      <c r="C222" s="48">
        <f>428.8</f>
        <v>428.8</v>
      </c>
      <c r="D222" s="48">
        <v>0</v>
      </c>
      <c r="E222" s="48">
        <v>0</v>
      </c>
      <c r="F222" s="48">
        <v>776.76</v>
      </c>
      <c r="G222" s="48">
        <v>120.54</v>
      </c>
      <c r="H222" s="48">
        <v>0</v>
      </c>
      <c r="I222" s="48">
        <v>0</v>
      </c>
      <c r="J222" s="49">
        <v>0</v>
      </c>
      <c r="K222" s="48">
        <f t="shared" si="10"/>
        <v>25.727999999999998</v>
      </c>
      <c r="L222" s="48">
        <v>0</v>
      </c>
      <c r="M222" s="48">
        <f t="shared" si="9"/>
        <v>1326.1</v>
      </c>
    </row>
    <row r="223" spans="2:13" x14ac:dyDescent="0.35">
      <c r="B223" s="60" t="s">
        <v>326</v>
      </c>
      <c r="C223" s="48">
        <v>691.71</v>
      </c>
      <c r="D223" s="48">
        <v>0</v>
      </c>
      <c r="E223" s="48">
        <v>0</v>
      </c>
      <c r="F223" s="48">
        <v>766.18</v>
      </c>
      <c r="G223" s="48">
        <v>118.91</v>
      </c>
      <c r="H223" s="48">
        <v>0</v>
      </c>
      <c r="I223" s="48">
        <v>0</v>
      </c>
      <c r="J223" s="49">
        <v>0</v>
      </c>
      <c r="K223" s="48">
        <f t="shared" si="10"/>
        <v>41.502600000000001</v>
      </c>
      <c r="L223" s="48">
        <v>0</v>
      </c>
      <c r="M223" s="48">
        <f t="shared" si="9"/>
        <v>1576.8</v>
      </c>
    </row>
    <row r="224" spans="2:13" x14ac:dyDescent="0.35">
      <c r="B224" s="60" t="s">
        <v>326</v>
      </c>
      <c r="C224" s="48">
        <v>691.71</v>
      </c>
      <c r="D224" s="48">
        <v>0</v>
      </c>
      <c r="E224" s="48">
        <v>0</v>
      </c>
      <c r="F224" s="48">
        <v>766.18</v>
      </c>
      <c r="G224" s="48">
        <v>118.91</v>
      </c>
      <c r="H224" s="48">
        <v>0</v>
      </c>
      <c r="I224" s="48">
        <v>0</v>
      </c>
      <c r="J224" s="49">
        <v>0</v>
      </c>
      <c r="K224" s="48">
        <f t="shared" si="10"/>
        <v>41.502600000000001</v>
      </c>
      <c r="L224" s="48">
        <v>0</v>
      </c>
      <c r="M224" s="48">
        <f t="shared" si="9"/>
        <v>1576.8</v>
      </c>
    </row>
    <row r="225" spans="2:13" x14ac:dyDescent="0.35">
      <c r="B225" s="60" t="s">
        <v>266</v>
      </c>
      <c r="C225" s="48">
        <v>0</v>
      </c>
      <c r="D225" s="48">
        <v>0</v>
      </c>
      <c r="E225" s="48">
        <v>0</v>
      </c>
      <c r="F225" s="48">
        <v>1860.7</v>
      </c>
      <c r="G225" s="48">
        <v>321.93</v>
      </c>
      <c r="H225" s="48">
        <v>0</v>
      </c>
      <c r="I225" s="48">
        <v>0</v>
      </c>
      <c r="J225" s="49">
        <v>0</v>
      </c>
      <c r="K225" s="48">
        <f t="shared" si="10"/>
        <v>0</v>
      </c>
      <c r="L225" s="48">
        <v>0</v>
      </c>
      <c r="M225" s="48">
        <f t="shared" si="9"/>
        <v>2182.63</v>
      </c>
    </row>
    <row r="226" spans="2:13" x14ac:dyDescent="0.35">
      <c r="B226" s="60" t="s">
        <v>267</v>
      </c>
      <c r="C226" s="48">
        <v>0</v>
      </c>
      <c r="D226" s="48">
        <v>0</v>
      </c>
      <c r="E226" s="48">
        <v>0</v>
      </c>
      <c r="F226" s="48">
        <v>0</v>
      </c>
      <c r="G226" s="48">
        <v>0</v>
      </c>
      <c r="H226" s="48">
        <v>0</v>
      </c>
      <c r="I226" s="48">
        <v>0</v>
      </c>
      <c r="J226" s="49">
        <v>0</v>
      </c>
      <c r="K226" s="48">
        <f t="shared" si="10"/>
        <v>0</v>
      </c>
      <c r="L226" s="48">
        <v>0</v>
      </c>
      <c r="M226" s="48">
        <f t="shared" si="9"/>
        <v>0</v>
      </c>
    </row>
    <row r="227" spans="2:13" x14ac:dyDescent="0.35">
      <c r="B227" s="60" t="s">
        <v>268</v>
      </c>
      <c r="C227" s="48">
        <f>1036.88-114.03</f>
        <v>922.85000000000014</v>
      </c>
      <c r="D227" s="48">
        <v>119.86</v>
      </c>
      <c r="E227" s="48">
        <v>0</v>
      </c>
      <c r="F227" s="48">
        <v>776.76</v>
      </c>
      <c r="G227" s="48">
        <v>120.35</v>
      </c>
      <c r="H227" s="48">
        <v>0</v>
      </c>
      <c r="I227" s="48">
        <v>0</v>
      </c>
      <c r="J227" s="49">
        <v>0</v>
      </c>
      <c r="K227" s="48">
        <f t="shared" si="10"/>
        <v>62.562600000000003</v>
      </c>
      <c r="L227" s="48">
        <v>0</v>
      </c>
      <c r="M227" s="48">
        <f t="shared" si="9"/>
        <v>1939.82</v>
      </c>
    </row>
    <row r="228" spans="2:13" x14ac:dyDescent="0.35">
      <c r="B228" s="60" t="s">
        <v>269</v>
      </c>
      <c r="C228" s="48">
        <f>944.43-404.37-261.57</f>
        <v>278.48999999999995</v>
      </c>
      <c r="D228" s="48">
        <v>0</v>
      </c>
      <c r="E228" s="48">
        <v>0</v>
      </c>
      <c r="F228" s="48">
        <v>768.85</v>
      </c>
      <c r="G228" s="48">
        <v>119.1</v>
      </c>
      <c r="H228" s="48">
        <v>0</v>
      </c>
      <c r="I228" s="48">
        <v>0</v>
      </c>
      <c r="J228" s="49">
        <v>0</v>
      </c>
      <c r="K228" s="48">
        <f t="shared" si="10"/>
        <v>16.709399999999995</v>
      </c>
      <c r="L228" s="48">
        <v>0</v>
      </c>
      <c r="M228" s="48">
        <f t="shared" si="9"/>
        <v>1166.4399999999998</v>
      </c>
    </row>
    <row r="229" spans="2:13" x14ac:dyDescent="0.35">
      <c r="B229" s="60" t="s">
        <v>270</v>
      </c>
      <c r="C229" s="48">
        <v>0</v>
      </c>
      <c r="D229" s="48">
        <v>0</v>
      </c>
      <c r="E229" s="48">
        <v>0</v>
      </c>
      <c r="F229" s="48">
        <v>0</v>
      </c>
      <c r="G229" s="48">
        <v>0</v>
      </c>
      <c r="H229" s="48">
        <v>0</v>
      </c>
      <c r="I229" s="48">
        <v>0</v>
      </c>
      <c r="J229" s="49">
        <v>0</v>
      </c>
      <c r="K229" s="48">
        <f t="shared" si="10"/>
        <v>0</v>
      </c>
      <c r="L229" s="48">
        <v>0</v>
      </c>
      <c r="M229" s="48">
        <f t="shared" si="9"/>
        <v>0</v>
      </c>
    </row>
    <row r="230" spans="2:13" x14ac:dyDescent="0.35">
      <c r="B230" s="60" t="s">
        <v>271</v>
      </c>
      <c r="C230" s="48">
        <v>723.95</v>
      </c>
      <c r="D230" s="48">
        <v>0</v>
      </c>
      <c r="E230" s="48">
        <v>0</v>
      </c>
      <c r="F230" s="48">
        <v>693.93</v>
      </c>
      <c r="G230" s="48">
        <v>120.24</v>
      </c>
      <c r="H230" s="48">
        <v>0</v>
      </c>
      <c r="I230" s="48">
        <v>0</v>
      </c>
      <c r="J230" s="49">
        <v>0</v>
      </c>
      <c r="K230" s="48">
        <f t="shared" si="10"/>
        <v>43.436999999999998</v>
      </c>
      <c r="L230" s="48">
        <v>0</v>
      </c>
      <c r="M230" s="48">
        <f t="shared" si="9"/>
        <v>1538.1200000000001</v>
      </c>
    </row>
    <row r="231" spans="2:13" x14ac:dyDescent="0.35">
      <c r="B231" s="60" t="s">
        <v>327</v>
      </c>
      <c r="C231" s="48">
        <v>0</v>
      </c>
      <c r="D231" s="48">
        <v>0</v>
      </c>
      <c r="E231" s="48">
        <v>0</v>
      </c>
      <c r="F231" s="48">
        <v>0</v>
      </c>
      <c r="G231" s="48">
        <v>0</v>
      </c>
      <c r="H231" s="48">
        <v>0</v>
      </c>
      <c r="I231" s="48">
        <v>0</v>
      </c>
      <c r="J231" s="49">
        <v>0</v>
      </c>
      <c r="K231" s="48">
        <f t="shared" si="10"/>
        <v>0</v>
      </c>
      <c r="L231" s="48">
        <v>0</v>
      </c>
      <c r="M231" s="48">
        <f t="shared" si="9"/>
        <v>0</v>
      </c>
    </row>
    <row r="232" spans="2:13" x14ac:dyDescent="0.35">
      <c r="B232" s="60" t="s">
        <v>328</v>
      </c>
      <c r="C232" s="48">
        <v>0</v>
      </c>
      <c r="D232" s="48">
        <v>0</v>
      </c>
      <c r="E232" s="48">
        <v>0</v>
      </c>
      <c r="F232" s="48">
        <v>0</v>
      </c>
      <c r="G232" s="48">
        <v>0</v>
      </c>
      <c r="H232" s="48">
        <v>0</v>
      </c>
      <c r="I232" s="48">
        <v>0</v>
      </c>
      <c r="J232" s="49">
        <v>0</v>
      </c>
      <c r="K232" s="48">
        <f t="shared" si="10"/>
        <v>0</v>
      </c>
      <c r="L232" s="48">
        <v>0</v>
      </c>
      <c r="M232" s="48">
        <f t="shared" si="9"/>
        <v>0</v>
      </c>
    </row>
    <row r="233" spans="2:13" x14ac:dyDescent="0.35">
      <c r="B233" s="60" t="s">
        <v>329</v>
      </c>
      <c r="C233" s="48">
        <f>1391.79-1391.79</f>
        <v>0</v>
      </c>
      <c r="D233" s="48">
        <v>0</v>
      </c>
      <c r="E233" s="48">
        <v>0</v>
      </c>
      <c r="F233" s="48">
        <v>693.44</v>
      </c>
      <c r="G233" s="48">
        <v>120.24</v>
      </c>
      <c r="H233" s="48">
        <v>0</v>
      </c>
      <c r="I233" s="48">
        <v>0</v>
      </c>
      <c r="J233" s="49">
        <v>0</v>
      </c>
      <c r="K233" s="48">
        <f t="shared" si="10"/>
        <v>0</v>
      </c>
      <c r="L233" s="48">
        <v>0</v>
      </c>
      <c r="M233" s="48">
        <f t="shared" si="9"/>
        <v>813.68000000000006</v>
      </c>
    </row>
    <row r="234" spans="2:13" x14ac:dyDescent="0.35">
      <c r="B234" s="60" t="s">
        <v>330</v>
      </c>
      <c r="C234" s="48">
        <v>1028.1400000000001</v>
      </c>
      <c r="D234" s="48">
        <v>0</v>
      </c>
      <c r="E234" s="48">
        <v>0</v>
      </c>
      <c r="F234" s="48">
        <v>776.76</v>
      </c>
      <c r="G234" s="48">
        <v>120.35</v>
      </c>
      <c r="H234" s="48">
        <v>0</v>
      </c>
      <c r="I234" s="48">
        <v>0</v>
      </c>
      <c r="J234" s="49">
        <v>0</v>
      </c>
      <c r="K234" s="48">
        <f t="shared" si="10"/>
        <v>61.688400000000001</v>
      </c>
      <c r="L234" s="48">
        <v>0</v>
      </c>
      <c r="M234" s="48">
        <f t="shared" si="9"/>
        <v>1925.25</v>
      </c>
    </row>
    <row r="235" spans="2:13" x14ac:dyDescent="0.35">
      <c r="B235" s="60" t="s">
        <v>331</v>
      </c>
      <c r="C235" s="48">
        <v>497.16</v>
      </c>
      <c r="D235" s="48">
        <f>77+13.85</f>
        <v>90.85</v>
      </c>
      <c r="E235" s="48">
        <v>0</v>
      </c>
      <c r="F235" s="48">
        <v>768.85</v>
      </c>
      <c r="G235" s="48">
        <v>119.1</v>
      </c>
      <c r="H235" s="48">
        <v>0</v>
      </c>
      <c r="I235" s="48">
        <v>0</v>
      </c>
      <c r="J235" s="49">
        <v>0</v>
      </c>
      <c r="K235" s="48">
        <f t="shared" si="10"/>
        <v>35.2806</v>
      </c>
      <c r="L235" s="48">
        <v>0</v>
      </c>
      <c r="M235" s="48">
        <f t="shared" si="9"/>
        <v>1475.96</v>
      </c>
    </row>
    <row r="236" spans="2:13" x14ac:dyDescent="0.35">
      <c r="B236" s="60" t="s">
        <v>332</v>
      </c>
      <c r="C236" s="48">
        <v>878.9</v>
      </c>
      <c r="D236" s="48">
        <v>0</v>
      </c>
      <c r="E236" s="48">
        <v>0</v>
      </c>
      <c r="F236" s="48">
        <v>1862.09</v>
      </c>
      <c r="G236" s="48">
        <v>321.93</v>
      </c>
      <c r="H236" s="48">
        <v>0</v>
      </c>
      <c r="I236" s="48">
        <v>0</v>
      </c>
      <c r="J236" s="49">
        <v>0</v>
      </c>
      <c r="K236" s="48">
        <f t="shared" si="10"/>
        <v>52.733999999999995</v>
      </c>
      <c r="L236" s="48">
        <v>0</v>
      </c>
      <c r="M236" s="48">
        <f t="shared" si="9"/>
        <v>3062.9199999999996</v>
      </c>
    </row>
    <row r="237" spans="2:13" x14ac:dyDescent="0.35">
      <c r="B237" s="60" t="s">
        <v>272</v>
      </c>
      <c r="C237" s="48">
        <v>647.1</v>
      </c>
      <c r="D237" s="48">
        <v>0</v>
      </c>
      <c r="E237" s="48">
        <v>0</v>
      </c>
      <c r="F237" s="48">
        <v>693.44</v>
      </c>
      <c r="G237" s="48">
        <v>120.24</v>
      </c>
      <c r="H237" s="48">
        <v>0</v>
      </c>
      <c r="I237" s="48">
        <v>0</v>
      </c>
      <c r="J237" s="49">
        <v>0</v>
      </c>
      <c r="K237" s="48">
        <f t="shared" si="10"/>
        <v>38.826000000000001</v>
      </c>
      <c r="L237" s="48">
        <v>0</v>
      </c>
      <c r="M237" s="48">
        <f t="shared" si="9"/>
        <v>1460.78</v>
      </c>
    </row>
    <row r="238" spans="2:13" x14ac:dyDescent="0.35">
      <c r="B238" s="60" t="s">
        <v>273</v>
      </c>
      <c r="C238" s="48">
        <v>0</v>
      </c>
      <c r="D238" s="48">
        <v>0</v>
      </c>
      <c r="E238" s="48">
        <v>0</v>
      </c>
      <c r="F238" s="48">
        <v>0</v>
      </c>
      <c r="G238" s="48">
        <v>0</v>
      </c>
      <c r="H238" s="48">
        <v>0</v>
      </c>
      <c r="I238" s="48">
        <v>0</v>
      </c>
      <c r="J238" s="49">
        <v>0</v>
      </c>
      <c r="K238" s="48">
        <f t="shared" si="10"/>
        <v>0</v>
      </c>
      <c r="L238" s="48">
        <v>0</v>
      </c>
      <c r="M238" s="48">
        <f t="shared" si="9"/>
        <v>0</v>
      </c>
    </row>
    <row r="239" spans="2:13" x14ac:dyDescent="0.35">
      <c r="B239" s="60" t="s">
        <v>274</v>
      </c>
      <c r="C239" s="48">
        <v>0</v>
      </c>
      <c r="D239" s="48">
        <v>0</v>
      </c>
      <c r="E239" s="48">
        <v>0</v>
      </c>
      <c r="F239" s="48">
        <v>0</v>
      </c>
      <c r="G239" s="48">
        <v>0</v>
      </c>
      <c r="H239" s="48">
        <v>0</v>
      </c>
      <c r="I239" s="48">
        <v>0</v>
      </c>
      <c r="J239" s="49">
        <v>0</v>
      </c>
      <c r="K239" s="48">
        <f t="shared" si="10"/>
        <v>0</v>
      </c>
      <c r="L239" s="48">
        <v>0</v>
      </c>
      <c r="M239" s="48">
        <f t="shared" si="9"/>
        <v>0</v>
      </c>
    </row>
    <row r="240" spans="2:13" x14ac:dyDescent="0.35">
      <c r="B240" s="60" t="s">
        <v>275</v>
      </c>
      <c r="C240" s="48">
        <v>0</v>
      </c>
      <c r="D240" s="48">
        <v>0</v>
      </c>
      <c r="E240" s="48">
        <v>0</v>
      </c>
      <c r="F240" s="48">
        <v>0</v>
      </c>
      <c r="G240" s="48">
        <v>0</v>
      </c>
      <c r="H240" s="48">
        <v>0</v>
      </c>
      <c r="I240" s="48">
        <v>0</v>
      </c>
      <c r="J240" s="49">
        <v>0</v>
      </c>
      <c r="K240" s="48">
        <f t="shared" si="10"/>
        <v>0</v>
      </c>
      <c r="L240" s="48">
        <v>0</v>
      </c>
      <c r="M240" s="48">
        <f t="shared" si="9"/>
        <v>0</v>
      </c>
    </row>
    <row r="241" spans="2:13" x14ac:dyDescent="0.35">
      <c r="B241" s="60" t="s">
        <v>111</v>
      </c>
      <c r="C241" s="48">
        <v>486.1</v>
      </c>
      <c r="D241" s="48">
        <v>0</v>
      </c>
      <c r="E241" s="48">
        <v>0</v>
      </c>
      <c r="F241" s="48">
        <v>693.44</v>
      </c>
      <c r="G241" s="48">
        <v>120.24</v>
      </c>
      <c r="H241" s="48">
        <v>0</v>
      </c>
      <c r="I241" s="48">
        <v>0</v>
      </c>
      <c r="J241" s="49">
        <v>0</v>
      </c>
      <c r="K241" s="48">
        <f t="shared" si="10"/>
        <v>29.166</v>
      </c>
      <c r="L241" s="48">
        <v>0</v>
      </c>
      <c r="M241" s="48">
        <f t="shared" si="9"/>
        <v>1299.78</v>
      </c>
    </row>
    <row r="242" spans="2:13" x14ac:dyDescent="0.35">
      <c r="B242" s="60" t="s">
        <v>276</v>
      </c>
      <c r="C242" s="48">
        <f>529.91</f>
        <v>529.91</v>
      </c>
      <c r="D242" s="48">
        <v>80.56</v>
      </c>
      <c r="E242" s="48">
        <v>0</v>
      </c>
      <c r="F242" s="48">
        <v>776.76</v>
      </c>
      <c r="G242" s="48">
        <v>120.35</v>
      </c>
      <c r="H242" s="48">
        <v>0</v>
      </c>
      <c r="I242" s="48">
        <v>0</v>
      </c>
      <c r="J242" s="49">
        <v>0</v>
      </c>
      <c r="K242" s="48">
        <f t="shared" si="10"/>
        <v>36.6282</v>
      </c>
      <c r="L242" s="48">
        <v>0</v>
      </c>
      <c r="M242" s="48">
        <f t="shared" si="9"/>
        <v>1507.58</v>
      </c>
    </row>
    <row r="243" spans="2:13" x14ac:dyDescent="0.35">
      <c r="B243" s="60" t="s">
        <v>277</v>
      </c>
      <c r="C243" s="48">
        <v>674.88</v>
      </c>
      <c r="D243" s="48">
        <v>94.78</v>
      </c>
      <c r="E243" s="48">
        <v>0</v>
      </c>
      <c r="F243" s="48">
        <v>768.85</v>
      </c>
      <c r="G243" s="48">
        <v>119.1</v>
      </c>
      <c r="H243" s="48">
        <v>0</v>
      </c>
      <c r="I243" s="48">
        <v>0</v>
      </c>
      <c r="J243" s="49">
        <v>0</v>
      </c>
      <c r="K243" s="48">
        <f t="shared" si="10"/>
        <v>46.179599999999994</v>
      </c>
      <c r="L243" s="48">
        <v>0</v>
      </c>
      <c r="M243" s="48">
        <f t="shared" si="9"/>
        <v>1657.61</v>
      </c>
    </row>
    <row r="244" spans="2:13" x14ac:dyDescent="0.35">
      <c r="B244" s="60" t="s">
        <v>278</v>
      </c>
      <c r="C244" s="48">
        <v>0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0</v>
      </c>
      <c r="J244" s="49">
        <v>0</v>
      </c>
      <c r="K244" s="48">
        <f t="shared" si="10"/>
        <v>0</v>
      </c>
      <c r="L244" s="48">
        <v>0</v>
      </c>
      <c r="M244" s="48">
        <f t="shared" si="9"/>
        <v>0</v>
      </c>
    </row>
    <row r="245" spans="2:13" x14ac:dyDescent="0.35">
      <c r="B245" s="60" t="s">
        <v>279</v>
      </c>
      <c r="C245" s="48">
        <v>738.13</v>
      </c>
      <c r="D245" s="48">
        <v>0</v>
      </c>
      <c r="E245" s="48">
        <v>0</v>
      </c>
      <c r="F245" s="48">
        <v>777.15</v>
      </c>
      <c r="G245" s="48">
        <v>120.35</v>
      </c>
      <c r="H245" s="48">
        <v>0</v>
      </c>
      <c r="I245" s="48">
        <v>0</v>
      </c>
      <c r="J245" s="49">
        <v>0</v>
      </c>
      <c r="K245" s="48">
        <f t="shared" si="10"/>
        <v>44.287799999999997</v>
      </c>
      <c r="L245" s="48">
        <v>0</v>
      </c>
      <c r="M245" s="48">
        <f t="shared" si="9"/>
        <v>1635.6299999999999</v>
      </c>
    </row>
    <row r="246" spans="2:13" x14ac:dyDescent="0.35">
      <c r="B246" s="60" t="s">
        <v>280</v>
      </c>
      <c r="C246" s="48">
        <v>1047.4000000000001</v>
      </c>
      <c r="D246" s="48">
        <v>0</v>
      </c>
      <c r="E246" s="48">
        <v>0</v>
      </c>
      <c r="F246" s="48">
        <v>769.25</v>
      </c>
      <c r="G246" s="48">
        <v>119.1</v>
      </c>
      <c r="H246" s="48">
        <v>0</v>
      </c>
      <c r="I246" s="48">
        <v>0</v>
      </c>
      <c r="J246" s="49">
        <v>0</v>
      </c>
      <c r="K246" s="48">
        <f t="shared" si="10"/>
        <v>62.844000000000001</v>
      </c>
      <c r="L246" s="48">
        <v>0</v>
      </c>
      <c r="M246" s="48">
        <f t="shared" si="9"/>
        <v>1935.75</v>
      </c>
    </row>
    <row r="247" spans="2:13" x14ac:dyDescent="0.35">
      <c r="B247" s="60" t="s">
        <v>281</v>
      </c>
      <c r="C247" s="48">
        <v>847.7</v>
      </c>
      <c r="D247" s="48">
        <f>122.01+54.19</f>
        <v>176.2</v>
      </c>
      <c r="E247" s="48">
        <v>0</v>
      </c>
      <c r="F247" s="48">
        <v>1862.09</v>
      </c>
      <c r="G247" s="48">
        <v>0</v>
      </c>
      <c r="H247" s="48">
        <v>0</v>
      </c>
      <c r="I247" s="48">
        <v>0</v>
      </c>
      <c r="J247" s="49">
        <v>0</v>
      </c>
      <c r="K247" s="48">
        <f t="shared" si="10"/>
        <v>61.434000000000005</v>
      </c>
      <c r="L247" s="48">
        <v>0</v>
      </c>
      <c r="M247" s="48">
        <f t="shared" si="9"/>
        <v>2885.99</v>
      </c>
    </row>
    <row r="248" spans="2:13" x14ac:dyDescent="0.35">
      <c r="B248" s="60" t="s">
        <v>282</v>
      </c>
      <c r="C248" s="48">
        <v>647.49</v>
      </c>
      <c r="D248" s="48">
        <v>0</v>
      </c>
      <c r="E248" s="48">
        <v>0</v>
      </c>
      <c r="F248" s="48">
        <v>693.44</v>
      </c>
      <c r="G248" s="48">
        <v>120.24</v>
      </c>
      <c r="H248" s="48">
        <v>0</v>
      </c>
      <c r="I248" s="48">
        <v>0</v>
      </c>
      <c r="J248" s="49">
        <v>0</v>
      </c>
      <c r="K248" s="48">
        <f t="shared" si="10"/>
        <v>38.849399999999996</v>
      </c>
      <c r="L248" s="48">
        <v>0</v>
      </c>
      <c r="M248" s="48">
        <f t="shared" si="9"/>
        <v>1461.17</v>
      </c>
    </row>
    <row r="249" spans="2:13" x14ac:dyDescent="0.35">
      <c r="B249" s="60" t="s">
        <v>283</v>
      </c>
      <c r="C249" s="48">
        <f>720.27-67.77</f>
        <v>652.5</v>
      </c>
      <c r="D249" s="48">
        <v>0</v>
      </c>
      <c r="E249" s="48">
        <v>0</v>
      </c>
      <c r="F249" s="48">
        <v>777.15</v>
      </c>
      <c r="G249" s="48">
        <v>120.35</v>
      </c>
      <c r="H249" s="48">
        <v>0</v>
      </c>
      <c r="I249" s="48">
        <v>0</v>
      </c>
      <c r="J249" s="49">
        <v>0</v>
      </c>
      <c r="K249" s="48">
        <f t="shared" si="10"/>
        <v>39.15</v>
      </c>
      <c r="L249" s="48">
        <v>0</v>
      </c>
      <c r="M249" s="48">
        <f t="shared" si="9"/>
        <v>1550</v>
      </c>
    </row>
    <row r="250" spans="2:13" x14ac:dyDescent="0.35">
      <c r="B250" s="60" t="s">
        <v>284</v>
      </c>
      <c r="C250" s="48">
        <f>622.05-110.4</f>
        <v>511.65</v>
      </c>
      <c r="D250" s="48">
        <v>78.459999999999994</v>
      </c>
      <c r="E250" s="48">
        <v>0</v>
      </c>
      <c r="F250" s="48">
        <v>769.25</v>
      </c>
      <c r="G250" s="48">
        <v>119.1</v>
      </c>
      <c r="H250" s="48">
        <v>0</v>
      </c>
      <c r="I250" s="48">
        <v>0</v>
      </c>
      <c r="J250" s="49">
        <v>0</v>
      </c>
      <c r="K250" s="48">
        <f t="shared" si="10"/>
        <v>35.406599999999997</v>
      </c>
      <c r="L250" s="48">
        <v>0</v>
      </c>
      <c r="M250" s="48">
        <f t="shared" si="9"/>
        <v>1478.46</v>
      </c>
    </row>
    <row r="251" spans="2:13" x14ac:dyDescent="0.35">
      <c r="B251" s="60" t="s">
        <v>285</v>
      </c>
      <c r="C251" s="48">
        <f>751.45-135.47</f>
        <v>615.98</v>
      </c>
      <c r="D251" s="48">
        <v>0</v>
      </c>
      <c r="E251" s="48">
        <v>0</v>
      </c>
      <c r="F251" s="48">
        <v>1862.09</v>
      </c>
      <c r="G251" s="48">
        <v>321.93</v>
      </c>
      <c r="H251" s="48">
        <v>0</v>
      </c>
      <c r="I251" s="48">
        <v>0</v>
      </c>
      <c r="J251" s="49">
        <v>0</v>
      </c>
      <c r="K251" s="48">
        <f t="shared" si="10"/>
        <v>36.958799999999997</v>
      </c>
      <c r="L251" s="48">
        <v>0</v>
      </c>
      <c r="M251" s="48">
        <f t="shared" si="9"/>
        <v>2799.9999999999995</v>
      </c>
    </row>
    <row r="252" spans="2:13" x14ac:dyDescent="0.35">
      <c r="B252" s="60" t="s">
        <v>54</v>
      </c>
      <c r="C252" s="48">
        <v>489.37</v>
      </c>
      <c r="D252" s="48">
        <v>0</v>
      </c>
      <c r="E252" s="48">
        <v>0</v>
      </c>
      <c r="F252" s="48">
        <v>693.44</v>
      </c>
      <c r="G252" s="48">
        <v>110.38</v>
      </c>
      <c r="H252" s="48">
        <v>0</v>
      </c>
      <c r="I252" s="48">
        <v>0</v>
      </c>
      <c r="J252" s="49">
        <v>0</v>
      </c>
      <c r="K252" s="48">
        <f t="shared" si="10"/>
        <v>29.362199999999998</v>
      </c>
      <c r="L252" s="48">
        <v>0</v>
      </c>
      <c r="M252" s="48">
        <f t="shared" si="9"/>
        <v>1293.19</v>
      </c>
    </row>
    <row r="253" spans="2:13" x14ac:dyDescent="0.35">
      <c r="B253" s="60" t="s">
        <v>286</v>
      </c>
      <c r="C253" s="48">
        <f>606.97-112.25</f>
        <v>494.72</v>
      </c>
      <c r="D253" s="48">
        <v>0</v>
      </c>
      <c r="E253" s="48">
        <v>0</v>
      </c>
      <c r="F253" s="48">
        <v>777.15</v>
      </c>
      <c r="G253" s="48">
        <v>128.13</v>
      </c>
      <c r="H253" s="48">
        <v>0</v>
      </c>
      <c r="I253" s="48">
        <v>0</v>
      </c>
      <c r="J253" s="49">
        <v>0</v>
      </c>
      <c r="K253" s="48">
        <f t="shared" si="10"/>
        <v>29.683199999999999</v>
      </c>
      <c r="L253" s="48">
        <v>0</v>
      </c>
      <c r="M253" s="48">
        <f t="shared" si="9"/>
        <v>1400</v>
      </c>
    </row>
    <row r="254" spans="2:13" x14ac:dyDescent="0.35">
      <c r="B254" s="60" t="s">
        <v>287</v>
      </c>
      <c r="C254" s="48">
        <f>602.62-100</f>
        <v>502.62</v>
      </c>
      <c r="D254" s="48">
        <v>78.459999999999994</v>
      </c>
      <c r="E254" s="48">
        <v>0</v>
      </c>
      <c r="F254" s="48">
        <v>769.25</v>
      </c>
      <c r="G254" s="48">
        <v>128.13</v>
      </c>
      <c r="H254" s="48">
        <v>0</v>
      </c>
      <c r="I254" s="48">
        <v>0</v>
      </c>
      <c r="J254" s="49">
        <v>0</v>
      </c>
      <c r="K254" s="48">
        <f t="shared" si="10"/>
        <v>34.864800000000002</v>
      </c>
      <c r="L254" s="48">
        <v>0</v>
      </c>
      <c r="M254" s="48">
        <f t="shared" si="9"/>
        <v>1478.46</v>
      </c>
    </row>
    <row r="255" spans="2:13" x14ac:dyDescent="0.35">
      <c r="B255" s="60" t="s">
        <v>288</v>
      </c>
      <c r="C255" s="48">
        <f>598.03-100</f>
        <v>498.03</v>
      </c>
      <c r="D255" s="48">
        <v>0</v>
      </c>
      <c r="E255" s="48">
        <v>0</v>
      </c>
      <c r="F255" s="48">
        <v>693.44</v>
      </c>
      <c r="G255" s="48">
        <v>112.36</v>
      </c>
      <c r="H255" s="48">
        <v>0</v>
      </c>
      <c r="I255" s="48">
        <v>0</v>
      </c>
      <c r="J255" s="49">
        <v>0</v>
      </c>
      <c r="K255" s="48">
        <f t="shared" si="10"/>
        <v>29.881799999999998</v>
      </c>
      <c r="L255" s="48">
        <v>0</v>
      </c>
      <c r="M255" s="48">
        <f t="shared" si="9"/>
        <v>1303.83</v>
      </c>
    </row>
    <row r="256" spans="2:13" x14ac:dyDescent="0.35">
      <c r="B256" s="60" t="s">
        <v>289</v>
      </c>
      <c r="C256" s="48">
        <v>0</v>
      </c>
      <c r="D256" s="48">
        <v>0</v>
      </c>
      <c r="E256" s="48">
        <v>0</v>
      </c>
      <c r="F256" s="48">
        <v>0</v>
      </c>
      <c r="G256" s="48">
        <v>0</v>
      </c>
      <c r="H256" s="48">
        <v>0</v>
      </c>
      <c r="I256" s="48">
        <v>0</v>
      </c>
      <c r="J256" s="49">
        <v>0</v>
      </c>
      <c r="K256" s="48">
        <f t="shared" si="10"/>
        <v>0</v>
      </c>
      <c r="L256" s="48">
        <v>0</v>
      </c>
      <c r="M256" s="48">
        <f t="shared" si="9"/>
        <v>0</v>
      </c>
    </row>
    <row r="257" spans="2:13" x14ac:dyDescent="0.35">
      <c r="B257" s="60" t="s">
        <v>290</v>
      </c>
      <c r="C257" s="48">
        <v>597.94000000000005</v>
      </c>
      <c r="D257" s="48">
        <v>0</v>
      </c>
      <c r="E257" s="48">
        <v>0</v>
      </c>
      <c r="F257" s="48">
        <v>640.36</v>
      </c>
      <c r="G257" s="48">
        <v>114.14</v>
      </c>
      <c r="H257" s="48">
        <v>0</v>
      </c>
      <c r="I257" s="48">
        <v>0</v>
      </c>
      <c r="J257" s="49">
        <v>0</v>
      </c>
      <c r="K257" s="48">
        <f t="shared" si="10"/>
        <v>35.876400000000004</v>
      </c>
      <c r="L257" s="48">
        <v>0</v>
      </c>
      <c r="M257" s="48">
        <f t="shared" si="9"/>
        <v>1352.4400000000003</v>
      </c>
    </row>
    <row r="258" spans="2:13" x14ac:dyDescent="0.35">
      <c r="B258" s="60" t="s">
        <v>115</v>
      </c>
      <c r="C258" s="48">
        <f>2166.51-1182.52</f>
        <v>983.99000000000024</v>
      </c>
      <c r="D258" s="48">
        <v>0</v>
      </c>
      <c r="E258" s="48">
        <v>0</v>
      </c>
      <c r="F258" s="48">
        <v>1862.09</v>
      </c>
      <c r="G258" s="48">
        <v>283.43</v>
      </c>
      <c r="H258" s="48">
        <v>0</v>
      </c>
      <c r="I258" s="48">
        <v>0</v>
      </c>
      <c r="J258" s="49">
        <v>0</v>
      </c>
      <c r="K258" s="48">
        <f t="shared" si="10"/>
        <v>59.039400000000015</v>
      </c>
      <c r="L258" s="48">
        <v>0</v>
      </c>
      <c r="M258" s="48">
        <f t="shared" si="9"/>
        <v>3129.5099999999998</v>
      </c>
    </row>
    <row r="259" spans="2:13" x14ac:dyDescent="0.35">
      <c r="B259" s="60" t="s">
        <v>115</v>
      </c>
      <c r="C259" s="48">
        <v>0</v>
      </c>
      <c r="D259" s="48">
        <v>0</v>
      </c>
      <c r="E259" s="48">
        <v>1012.88</v>
      </c>
      <c r="F259" s="48">
        <v>0</v>
      </c>
      <c r="G259" s="48">
        <v>0</v>
      </c>
      <c r="H259" s="48">
        <v>0</v>
      </c>
      <c r="I259" s="48">
        <v>0</v>
      </c>
      <c r="J259" s="49">
        <v>0</v>
      </c>
      <c r="K259" s="48">
        <f t="shared" si="10"/>
        <v>60.772799999999997</v>
      </c>
      <c r="L259" s="48">
        <v>0</v>
      </c>
      <c r="M259" s="48">
        <f t="shared" si="9"/>
        <v>1012.88</v>
      </c>
    </row>
    <row r="260" spans="2:13" x14ac:dyDescent="0.35">
      <c r="B260" s="60" t="s">
        <v>291</v>
      </c>
      <c r="C260" s="48">
        <v>0</v>
      </c>
      <c r="D260" s="48">
        <v>0</v>
      </c>
      <c r="E260" s="48">
        <v>0</v>
      </c>
      <c r="F260" s="48">
        <v>0</v>
      </c>
      <c r="G260" s="48">
        <v>0</v>
      </c>
      <c r="H260" s="48">
        <v>0</v>
      </c>
      <c r="I260" s="48">
        <v>0</v>
      </c>
      <c r="J260" s="49">
        <v>0</v>
      </c>
      <c r="K260" s="48">
        <f t="shared" si="10"/>
        <v>0</v>
      </c>
      <c r="L260" s="48">
        <v>0</v>
      </c>
      <c r="M260" s="48">
        <f t="shared" si="9"/>
        <v>0</v>
      </c>
    </row>
    <row r="261" spans="2:13" x14ac:dyDescent="0.35">
      <c r="B261" s="60" t="s">
        <v>292</v>
      </c>
      <c r="C261" s="48">
        <v>346.08</v>
      </c>
      <c r="D261" s="48">
        <v>0</v>
      </c>
      <c r="E261" s="48">
        <v>0</v>
      </c>
      <c r="F261" s="48">
        <v>645.30999999999995</v>
      </c>
      <c r="G261" s="48">
        <v>108.61</v>
      </c>
      <c r="H261" s="48">
        <v>0</v>
      </c>
      <c r="I261" s="48">
        <v>0</v>
      </c>
      <c r="J261" s="49">
        <v>0</v>
      </c>
      <c r="K261" s="48">
        <f t="shared" si="10"/>
        <v>20.764799999999997</v>
      </c>
      <c r="L261" s="48">
        <v>0</v>
      </c>
      <c r="M261" s="48">
        <f t="shared" si="9"/>
        <v>1099.9999999999998</v>
      </c>
    </row>
    <row r="262" spans="2:13" x14ac:dyDescent="0.35">
      <c r="B262" s="60" t="s">
        <v>293</v>
      </c>
      <c r="C262" s="48">
        <v>0</v>
      </c>
      <c r="D262" s="48">
        <v>0</v>
      </c>
      <c r="E262" s="48">
        <v>0</v>
      </c>
      <c r="F262" s="48">
        <v>640.36</v>
      </c>
      <c r="G262" s="48">
        <v>107.75</v>
      </c>
      <c r="H262" s="48">
        <v>0</v>
      </c>
      <c r="I262" s="48">
        <v>0</v>
      </c>
      <c r="J262" s="49">
        <v>0</v>
      </c>
      <c r="K262" s="48">
        <f t="shared" si="10"/>
        <v>0</v>
      </c>
      <c r="L262" s="48">
        <v>0</v>
      </c>
      <c r="M262" s="48">
        <f t="shared" si="9"/>
        <v>748.11</v>
      </c>
    </row>
    <row r="263" spans="2:13" x14ac:dyDescent="0.35">
      <c r="B263" s="60" t="s">
        <v>346</v>
      </c>
      <c r="C263" s="48">
        <v>0</v>
      </c>
      <c r="D263" s="48">
        <v>0</v>
      </c>
      <c r="E263" s="48">
        <v>0</v>
      </c>
      <c r="F263" s="48">
        <v>0</v>
      </c>
      <c r="G263" s="48">
        <v>0</v>
      </c>
      <c r="H263" s="48">
        <v>0</v>
      </c>
      <c r="I263" s="48">
        <v>0</v>
      </c>
      <c r="J263" s="49">
        <v>0</v>
      </c>
      <c r="K263" s="48">
        <f t="shared" si="10"/>
        <v>0</v>
      </c>
      <c r="L263" s="48">
        <v>0</v>
      </c>
      <c r="M263" s="48">
        <f t="shared" si="9"/>
        <v>0</v>
      </c>
    </row>
    <row r="264" spans="2:13" x14ac:dyDescent="0.35">
      <c r="B264" s="60" t="s">
        <v>294</v>
      </c>
      <c r="C264" s="48">
        <v>1359.5</v>
      </c>
      <c r="D264" s="48">
        <v>0</v>
      </c>
      <c r="E264" s="48">
        <v>0</v>
      </c>
      <c r="F264" s="48">
        <v>1467.97</v>
      </c>
      <c r="G264" s="48">
        <v>65.02</v>
      </c>
      <c r="H264" s="48">
        <v>0</v>
      </c>
      <c r="I264" s="48">
        <v>0</v>
      </c>
      <c r="J264" s="49">
        <v>0</v>
      </c>
      <c r="K264" s="48">
        <f t="shared" si="10"/>
        <v>81.569999999999993</v>
      </c>
      <c r="L264" s="48">
        <v>0</v>
      </c>
      <c r="M264" s="48">
        <f t="shared" ref="M264:M296" si="11">C264+D264+E264+F264+G264+H264+J264+L264-I264</f>
        <v>2892.4900000000002</v>
      </c>
    </row>
    <row r="265" spans="2:13" x14ac:dyDescent="0.35">
      <c r="B265" s="60" t="s">
        <v>349</v>
      </c>
      <c r="C265" s="48">
        <f>1427.62-203.58</f>
        <v>1224.04</v>
      </c>
      <c r="D265" s="48">
        <v>0</v>
      </c>
      <c r="E265" s="48">
        <v>0</v>
      </c>
      <c r="F265" s="48">
        <v>1506.73</v>
      </c>
      <c r="G265" s="48">
        <v>212.89</v>
      </c>
      <c r="H265" s="48">
        <v>0</v>
      </c>
      <c r="I265" s="48">
        <v>0</v>
      </c>
      <c r="J265" s="49">
        <v>0</v>
      </c>
      <c r="K265" s="48">
        <f t="shared" si="10"/>
        <v>73.442399999999992</v>
      </c>
      <c r="L265" s="48">
        <v>0</v>
      </c>
      <c r="M265" s="48">
        <f t="shared" si="11"/>
        <v>2943.66</v>
      </c>
    </row>
    <row r="266" spans="2:13" x14ac:dyDescent="0.35">
      <c r="B266" s="60" t="s">
        <v>295</v>
      </c>
      <c r="C266" s="48">
        <v>1100.8399999999999</v>
      </c>
      <c r="D266" s="48">
        <v>159.86000000000001</v>
      </c>
      <c r="E266" s="48">
        <v>0</v>
      </c>
      <c r="F266" s="48">
        <v>1424.45</v>
      </c>
      <c r="G266" s="48">
        <v>212.89</v>
      </c>
      <c r="H266" s="48">
        <v>0</v>
      </c>
      <c r="I266" s="48">
        <v>0</v>
      </c>
      <c r="J266" s="49">
        <v>0</v>
      </c>
      <c r="K266" s="48">
        <f t="shared" si="10"/>
        <v>75.641999999999982</v>
      </c>
      <c r="L266" s="48">
        <v>0</v>
      </c>
      <c r="M266" s="48">
        <f t="shared" si="11"/>
        <v>2898.0399999999995</v>
      </c>
    </row>
    <row r="267" spans="2:13" x14ac:dyDescent="0.35">
      <c r="B267" s="60" t="s">
        <v>296</v>
      </c>
      <c r="C267" s="48">
        <v>257.18</v>
      </c>
      <c r="D267" s="48">
        <v>0</v>
      </c>
      <c r="E267" s="48">
        <v>0</v>
      </c>
      <c r="F267" s="48">
        <v>161.94</v>
      </c>
      <c r="G267" s="48">
        <v>35.770000000000003</v>
      </c>
      <c r="H267" s="48">
        <v>0</v>
      </c>
      <c r="I267" s="48">
        <v>0</v>
      </c>
      <c r="J267" s="49">
        <v>0</v>
      </c>
      <c r="K267" s="48">
        <f t="shared" ref="K267:K296" si="12">(C267+D267+E267)*6%</f>
        <v>15.4308</v>
      </c>
      <c r="L267" s="48">
        <v>0</v>
      </c>
      <c r="M267" s="48">
        <f t="shared" si="11"/>
        <v>454.89</v>
      </c>
    </row>
    <row r="268" spans="2:13" x14ac:dyDescent="0.35">
      <c r="B268" s="60" t="s">
        <v>297</v>
      </c>
      <c r="C268" s="48">
        <v>227.95</v>
      </c>
      <c r="D268" s="48">
        <v>0</v>
      </c>
      <c r="E268" s="48">
        <v>0</v>
      </c>
      <c r="F268" s="48">
        <v>170.29</v>
      </c>
      <c r="G268" s="48">
        <v>35.770000000000003</v>
      </c>
      <c r="H268" s="48">
        <v>0</v>
      </c>
      <c r="I268" s="48">
        <v>0</v>
      </c>
      <c r="J268" s="49">
        <v>0</v>
      </c>
      <c r="K268" s="48">
        <f t="shared" si="12"/>
        <v>13.677</v>
      </c>
      <c r="L268" s="48">
        <v>0</v>
      </c>
      <c r="M268" s="48">
        <f t="shared" si="11"/>
        <v>434.01</v>
      </c>
    </row>
    <row r="269" spans="2:13" x14ac:dyDescent="0.35">
      <c r="B269" s="60" t="s">
        <v>298</v>
      </c>
      <c r="C269" s="48">
        <v>237.81</v>
      </c>
      <c r="D269" s="48">
        <v>0</v>
      </c>
      <c r="E269" s="48">
        <v>0</v>
      </c>
      <c r="F269" s="48">
        <v>170.29</v>
      </c>
      <c r="G269" s="48">
        <v>35.770000000000003</v>
      </c>
      <c r="H269" s="48">
        <v>0</v>
      </c>
      <c r="I269" s="48">
        <v>0</v>
      </c>
      <c r="J269" s="49">
        <v>0</v>
      </c>
      <c r="K269" s="48">
        <f t="shared" si="12"/>
        <v>14.268599999999999</v>
      </c>
      <c r="L269" s="48">
        <v>0</v>
      </c>
      <c r="M269" s="48">
        <f t="shared" si="11"/>
        <v>443.87</v>
      </c>
    </row>
    <row r="270" spans="2:13" x14ac:dyDescent="0.35">
      <c r="B270" s="60" t="s">
        <v>299</v>
      </c>
      <c r="C270" s="48">
        <v>237.19</v>
      </c>
      <c r="D270" s="48">
        <v>30.7</v>
      </c>
      <c r="E270" s="48">
        <v>0</v>
      </c>
      <c r="F270" s="48">
        <v>170.29</v>
      </c>
      <c r="G270" s="48">
        <v>35.770000000000003</v>
      </c>
      <c r="H270" s="48">
        <v>0</v>
      </c>
      <c r="I270" s="48">
        <v>0</v>
      </c>
      <c r="J270" s="49">
        <v>0</v>
      </c>
      <c r="K270" s="48">
        <f t="shared" si="12"/>
        <v>16.073399999999999</v>
      </c>
      <c r="L270" s="48">
        <v>0</v>
      </c>
      <c r="M270" s="48">
        <f t="shared" si="11"/>
        <v>473.94999999999993</v>
      </c>
    </row>
    <row r="271" spans="2:13" x14ac:dyDescent="0.35">
      <c r="B271" s="60" t="s">
        <v>300</v>
      </c>
      <c r="C271" s="48">
        <v>0</v>
      </c>
      <c r="D271" s="48">
        <v>0</v>
      </c>
      <c r="E271" s="48">
        <v>0</v>
      </c>
      <c r="F271" s="48">
        <v>0</v>
      </c>
      <c r="G271" s="48">
        <v>0</v>
      </c>
      <c r="H271" s="48">
        <v>0</v>
      </c>
      <c r="I271" s="48">
        <v>0</v>
      </c>
      <c r="J271" s="49">
        <v>0</v>
      </c>
      <c r="K271" s="48">
        <f t="shared" si="12"/>
        <v>0</v>
      </c>
      <c r="L271" s="48">
        <v>0</v>
      </c>
      <c r="M271" s="48">
        <f t="shared" si="11"/>
        <v>0</v>
      </c>
    </row>
    <row r="272" spans="2:13" x14ac:dyDescent="0.35">
      <c r="B272" s="60" t="s">
        <v>301</v>
      </c>
      <c r="C272" s="48">
        <v>0</v>
      </c>
      <c r="D272" s="48">
        <v>0</v>
      </c>
      <c r="E272" s="48">
        <v>0</v>
      </c>
      <c r="F272" s="48">
        <v>0</v>
      </c>
      <c r="G272" s="48">
        <v>0</v>
      </c>
      <c r="H272" s="48">
        <v>0</v>
      </c>
      <c r="I272" s="48">
        <v>0</v>
      </c>
      <c r="J272" s="49">
        <v>0</v>
      </c>
      <c r="K272" s="48">
        <f t="shared" si="12"/>
        <v>0</v>
      </c>
      <c r="L272" s="48">
        <v>0</v>
      </c>
      <c r="M272" s="48">
        <f t="shared" si="11"/>
        <v>0</v>
      </c>
    </row>
    <row r="273" spans="2:13" x14ac:dyDescent="0.35">
      <c r="B273" s="60" t="s">
        <v>302</v>
      </c>
      <c r="C273" s="48">
        <v>0</v>
      </c>
      <c r="D273" s="48">
        <v>0</v>
      </c>
      <c r="E273" s="48">
        <v>0</v>
      </c>
      <c r="F273" s="48">
        <v>0</v>
      </c>
      <c r="G273" s="48">
        <v>0</v>
      </c>
      <c r="H273" s="48">
        <v>0</v>
      </c>
      <c r="I273" s="48">
        <v>0</v>
      </c>
      <c r="J273" s="49">
        <v>0</v>
      </c>
      <c r="K273" s="48">
        <f t="shared" si="12"/>
        <v>0</v>
      </c>
      <c r="L273" s="48">
        <v>0</v>
      </c>
      <c r="M273" s="48">
        <f t="shared" si="11"/>
        <v>0</v>
      </c>
    </row>
    <row r="274" spans="2:13" x14ac:dyDescent="0.35">
      <c r="B274" s="60" t="s">
        <v>303</v>
      </c>
      <c r="C274" s="48">
        <v>0</v>
      </c>
      <c r="D274" s="48">
        <v>0</v>
      </c>
      <c r="E274" s="48">
        <v>0</v>
      </c>
      <c r="F274" s="48">
        <v>0</v>
      </c>
      <c r="G274" s="48">
        <v>0</v>
      </c>
      <c r="H274" s="48">
        <v>0</v>
      </c>
      <c r="I274" s="48">
        <v>0</v>
      </c>
      <c r="J274" s="49">
        <v>0</v>
      </c>
      <c r="K274" s="48">
        <f t="shared" si="12"/>
        <v>0</v>
      </c>
      <c r="L274" s="48">
        <v>0</v>
      </c>
      <c r="M274" s="48">
        <f t="shared" si="11"/>
        <v>0</v>
      </c>
    </row>
    <row r="275" spans="2:13" x14ac:dyDescent="0.35">
      <c r="B275" s="60" t="s">
        <v>304</v>
      </c>
      <c r="C275" s="48">
        <v>0</v>
      </c>
      <c r="D275" s="48">
        <v>0</v>
      </c>
      <c r="E275" s="48">
        <v>0</v>
      </c>
      <c r="F275" s="48">
        <v>0</v>
      </c>
      <c r="G275" s="48">
        <v>0</v>
      </c>
      <c r="H275" s="48">
        <v>0</v>
      </c>
      <c r="I275" s="48">
        <v>0</v>
      </c>
      <c r="J275" s="49">
        <v>0</v>
      </c>
      <c r="K275" s="48">
        <f t="shared" si="12"/>
        <v>0</v>
      </c>
      <c r="L275" s="48">
        <v>0</v>
      </c>
      <c r="M275" s="48">
        <f t="shared" si="11"/>
        <v>0</v>
      </c>
    </row>
    <row r="276" spans="2:13" x14ac:dyDescent="0.35">
      <c r="B276" s="60" t="s">
        <v>305</v>
      </c>
      <c r="C276" s="48">
        <v>405.79</v>
      </c>
      <c r="D276" s="48">
        <v>0</v>
      </c>
      <c r="E276" s="48">
        <v>0</v>
      </c>
      <c r="F276" s="48">
        <v>155.18</v>
      </c>
      <c r="G276" s="48">
        <v>26.83</v>
      </c>
      <c r="H276" s="48">
        <v>0</v>
      </c>
      <c r="I276" s="48">
        <v>0</v>
      </c>
      <c r="J276" s="49">
        <v>0</v>
      </c>
      <c r="K276" s="48">
        <f t="shared" si="12"/>
        <v>24.3474</v>
      </c>
      <c r="L276" s="48">
        <v>0</v>
      </c>
      <c r="M276" s="48">
        <f t="shared" si="11"/>
        <v>587.80000000000007</v>
      </c>
    </row>
    <row r="277" spans="2:13" x14ac:dyDescent="0.35">
      <c r="B277" s="60" t="s">
        <v>306</v>
      </c>
      <c r="C277" s="48">
        <v>281.10000000000002</v>
      </c>
      <c r="D277" s="48">
        <v>0</v>
      </c>
      <c r="E277" s="48">
        <v>0</v>
      </c>
      <c r="F277" s="48">
        <v>155.04</v>
      </c>
      <c r="G277" s="48">
        <v>26.83</v>
      </c>
      <c r="H277" s="48">
        <v>0</v>
      </c>
      <c r="I277" s="48">
        <v>0</v>
      </c>
      <c r="J277" s="49">
        <v>0</v>
      </c>
      <c r="K277" s="48">
        <f t="shared" si="12"/>
        <v>16.866</v>
      </c>
      <c r="L277" s="48">
        <v>0</v>
      </c>
      <c r="M277" s="48">
        <f t="shared" si="11"/>
        <v>462.96999999999997</v>
      </c>
    </row>
    <row r="278" spans="2:13" x14ac:dyDescent="0.35">
      <c r="B278" s="60" t="s">
        <v>307</v>
      </c>
      <c r="C278" s="48">
        <v>0</v>
      </c>
      <c r="D278" s="48">
        <v>0</v>
      </c>
      <c r="E278" s="48">
        <v>0</v>
      </c>
      <c r="F278" s="48">
        <v>0</v>
      </c>
      <c r="G278" s="48">
        <v>0</v>
      </c>
      <c r="H278" s="48">
        <v>0</v>
      </c>
      <c r="I278" s="48">
        <v>0</v>
      </c>
      <c r="J278" s="49">
        <v>0</v>
      </c>
      <c r="K278" s="48">
        <f t="shared" si="12"/>
        <v>0</v>
      </c>
      <c r="L278" s="48">
        <v>0</v>
      </c>
      <c r="M278" s="48">
        <f t="shared" si="11"/>
        <v>0</v>
      </c>
    </row>
    <row r="279" spans="2:13" x14ac:dyDescent="0.35">
      <c r="B279" s="60" t="s">
        <v>308</v>
      </c>
      <c r="C279" s="48">
        <v>0</v>
      </c>
      <c r="D279" s="48">
        <v>0</v>
      </c>
      <c r="E279" s="48">
        <v>0</v>
      </c>
      <c r="F279" s="48">
        <v>0</v>
      </c>
      <c r="G279" s="48">
        <v>0</v>
      </c>
      <c r="H279" s="48">
        <v>0</v>
      </c>
      <c r="I279" s="48">
        <v>0</v>
      </c>
      <c r="J279" s="49">
        <v>0</v>
      </c>
      <c r="K279" s="48">
        <f t="shared" si="12"/>
        <v>0</v>
      </c>
      <c r="L279" s="48">
        <v>0</v>
      </c>
      <c r="M279" s="48">
        <f t="shared" si="11"/>
        <v>0</v>
      </c>
    </row>
    <row r="280" spans="2:13" x14ac:dyDescent="0.35">
      <c r="B280" s="60" t="s">
        <v>309</v>
      </c>
      <c r="C280" s="48">
        <v>0</v>
      </c>
      <c r="D280" s="48">
        <v>0</v>
      </c>
      <c r="E280" s="48">
        <v>0</v>
      </c>
      <c r="F280" s="48">
        <v>0</v>
      </c>
      <c r="G280" s="48">
        <v>0</v>
      </c>
      <c r="H280" s="48">
        <v>0</v>
      </c>
      <c r="I280" s="48">
        <v>0</v>
      </c>
      <c r="J280" s="49">
        <v>0</v>
      </c>
      <c r="K280" s="48">
        <f t="shared" si="12"/>
        <v>0</v>
      </c>
      <c r="L280" s="48">
        <v>0</v>
      </c>
      <c r="M280" s="48">
        <f t="shared" si="11"/>
        <v>0</v>
      </c>
    </row>
    <row r="281" spans="2:13" x14ac:dyDescent="0.35">
      <c r="B281" s="60" t="s">
        <v>310</v>
      </c>
      <c r="C281" s="48">
        <v>296.87</v>
      </c>
      <c r="D281" s="48">
        <v>35.47</v>
      </c>
      <c r="E281" s="48">
        <v>0</v>
      </c>
      <c r="F281" s="48">
        <v>155.04</v>
      </c>
      <c r="G281" s="48">
        <v>26.83</v>
      </c>
      <c r="H281" s="48">
        <v>0</v>
      </c>
      <c r="I281" s="48">
        <v>0</v>
      </c>
      <c r="J281" s="49">
        <v>0</v>
      </c>
      <c r="K281" s="48">
        <f t="shared" si="12"/>
        <v>19.9404</v>
      </c>
      <c r="L281" s="48">
        <v>0</v>
      </c>
      <c r="M281" s="48">
        <f t="shared" si="11"/>
        <v>514.21</v>
      </c>
    </row>
    <row r="282" spans="2:13" x14ac:dyDescent="0.35">
      <c r="B282" s="60" t="s">
        <v>311</v>
      </c>
      <c r="C282" s="48">
        <v>296.87</v>
      </c>
      <c r="D282" s="48">
        <v>35.47</v>
      </c>
      <c r="E282" s="48">
        <v>0</v>
      </c>
      <c r="F282" s="48">
        <v>155.04</v>
      </c>
      <c r="G282" s="48">
        <v>26.83</v>
      </c>
      <c r="H282" s="48">
        <v>0</v>
      </c>
      <c r="I282" s="48">
        <v>0</v>
      </c>
      <c r="J282" s="49">
        <v>0</v>
      </c>
      <c r="K282" s="48">
        <f t="shared" si="12"/>
        <v>19.9404</v>
      </c>
      <c r="L282" s="48">
        <v>0</v>
      </c>
      <c r="M282" s="48">
        <f t="shared" si="11"/>
        <v>514.21</v>
      </c>
    </row>
    <row r="283" spans="2:13" x14ac:dyDescent="0.35">
      <c r="B283" s="60" t="s">
        <v>312</v>
      </c>
      <c r="C283" s="48">
        <v>0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8">
        <v>0</v>
      </c>
      <c r="J283" s="49">
        <v>0</v>
      </c>
      <c r="K283" s="48">
        <f t="shared" si="12"/>
        <v>0</v>
      </c>
      <c r="L283" s="48">
        <v>0</v>
      </c>
      <c r="M283" s="48">
        <f t="shared" si="11"/>
        <v>0</v>
      </c>
    </row>
    <row r="284" spans="2:13" x14ac:dyDescent="0.35">
      <c r="B284" s="60" t="s">
        <v>313</v>
      </c>
      <c r="C284" s="48">
        <v>280.77999999999997</v>
      </c>
      <c r="D284" s="48">
        <v>0</v>
      </c>
      <c r="E284" s="48">
        <v>0</v>
      </c>
      <c r="F284" s="48">
        <v>163.98</v>
      </c>
      <c r="G284" s="48">
        <v>26.83</v>
      </c>
      <c r="H284" s="48">
        <v>0</v>
      </c>
      <c r="I284" s="48">
        <v>0</v>
      </c>
      <c r="J284" s="49">
        <v>0</v>
      </c>
      <c r="K284" s="48">
        <f t="shared" si="12"/>
        <v>16.846799999999998</v>
      </c>
      <c r="L284" s="48">
        <v>0</v>
      </c>
      <c r="M284" s="48">
        <f t="shared" si="11"/>
        <v>471.59</v>
      </c>
    </row>
    <row r="285" spans="2:13" x14ac:dyDescent="0.35">
      <c r="B285" s="60" t="s">
        <v>314</v>
      </c>
      <c r="C285" s="48">
        <v>274.02</v>
      </c>
      <c r="D285" s="48">
        <v>0</v>
      </c>
      <c r="E285" s="48">
        <v>0</v>
      </c>
      <c r="F285" s="48">
        <v>155.04</v>
      </c>
      <c r="G285" s="48">
        <v>26.83</v>
      </c>
      <c r="H285" s="48">
        <v>0</v>
      </c>
      <c r="I285" s="48">
        <v>0</v>
      </c>
      <c r="J285" s="49">
        <v>0</v>
      </c>
      <c r="K285" s="48">
        <f t="shared" si="12"/>
        <v>16.441199999999998</v>
      </c>
      <c r="L285" s="48">
        <v>0</v>
      </c>
      <c r="M285" s="48">
        <f t="shared" si="11"/>
        <v>455.88999999999993</v>
      </c>
    </row>
    <row r="286" spans="2:13" x14ac:dyDescent="0.35">
      <c r="B286" s="60" t="s">
        <v>314</v>
      </c>
      <c r="C286" s="48">
        <v>274.02</v>
      </c>
      <c r="D286" s="48">
        <f>33.18+4.56</f>
        <v>37.74</v>
      </c>
      <c r="E286" s="48">
        <v>0</v>
      </c>
      <c r="F286" s="48">
        <v>155.04</v>
      </c>
      <c r="G286" s="48">
        <v>26.83</v>
      </c>
      <c r="H286" s="48">
        <v>0</v>
      </c>
      <c r="I286" s="48">
        <v>0</v>
      </c>
      <c r="J286" s="49">
        <v>0</v>
      </c>
      <c r="K286" s="48">
        <f t="shared" si="12"/>
        <v>18.7056</v>
      </c>
      <c r="L286" s="48">
        <v>0</v>
      </c>
      <c r="M286" s="48">
        <f t="shared" si="11"/>
        <v>493.62999999999994</v>
      </c>
    </row>
    <row r="287" spans="2:13" x14ac:dyDescent="0.35">
      <c r="B287" s="60" t="s">
        <v>314</v>
      </c>
      <c r="C287" s="48">
        <v>274.02</v>
      </c>
      <c r="D287" s="48">
        <v>0</v>
      </c>
      <c r="E287" s="48">
        <v>0</v>
      </c>
      <c r="F287" s="48">
        <v>155.04</v>
      </c>
      <c r="G287" s="48">
        <v>26.83</v>
      </c>
      <c r="H287" s="48">
        <v>0</v>
      </c>
      <c r="I287" s="48">
        <v>0</v>
      </c>
      <c r="J287" s="49">
        <v>0</v>
      </c>
      <c r="K287" s="48">
        <f t="shared" si="12"/>
        <v>16.441199999999998</v>
      </c>
      <c r="L287" s="48">
        <v>0</v>
      </c>
      <c r="M287" s="48">
        <f t="shared" si="11"/>
        <v>455.88999999999993</v>
      </c>
    </row>
    <row r="288" spans="2:13" x14ac:dyDescent="0.35">
      <c r="B288" s="60" t="s">
        <v>315</v>
      </c>
      <c r="C288" s="48">
        <v>0</v>
      </c>
      <c r="D288" s="48">
        <v>0</v>
      </c>
      <c r="E288" s="48">
        <v>0</v>
      </c>
      <c r="F288" s="48">
        <v>0</v>
      </c>
      <c r="G288" s="48">
        <v>0</v>
      </c>
      <c r="H288" s="48">
        <v>0</v>
      </c>
      <c r="I288" s="48">
        <v>0</v>
      </c>
      <c r="J288" s="49">
        <v>0</v>
      </c>
      <c r="K288" s="48">
        <f t="shared" si="12"/>
        <v>0</v>
      </c>
      <c r="L288" s="48">
        <v>0</v>
      </c>
      <c r="M288" s="48">
        <f t="shared" si="11"/>
        <v>0</v>
      </c>
    </row>
    <row r="289" spans="2:13" x14ac:dyDescent="0.35">
      <c r="B289" s="60" t="s">
        <v>316</v>
      </c>
      <c r="C289" s="48">
        <v>0</v>
      </c>
      <c r="D289" s="48">
        <v>0</v>
      </c>
      <c r="E289" s="48">
        <v>0</v>
      </c>
      <c r="F289" s="48">
        <v>0</v>
      </c>
      <c r="G289" s="48">
        <v>0</v>
      </c>
      <c r="H289" s="48">
        <v>0</v>
      </c>
      <c r="I289" s="48">
        <v>0</v>
      </c>
      <c r="J289" s="49">
        <v>0</v>
      </c>
      <c r="K289" s="48">
        <f t="shared" si="12"/>
        <v>0</v>
      </c>
      <c r="L289" s="48">
        <v>0</v>
      </c>
      <c r="M289" s="48">
        <f t="shared" si="11"/>
        <v>0</v>
      </c>
    </row>
    <row r="290" spans="2:13" x14ac:dyDescent="0.35">
      <c r="B290" s="60" t="s">
        <v>334</v>
      </c>
      <c r="C290" s="48">
        <v>0</v>
      </c>
      <c r="D290" s="48">
        <v>0</v>
      </c>
      <c r="E290" s="48">
        <v>0</v>
      </c>
      <c r="F290" s="48">
        <v>0</v>
      </c>
      <c r="G290" s="48">
        <v>0</v>
      </c>
      <c r="H290" s="48">
        <v>0</v>
      </c>
      <c r="I290" s="48">
        <v>0</v>
      </c>
      <c r="J290" s="49">
        <v>0</v>
      </c>
      <c r="K290" s="48">
        <f t="shared" si="12"/>
        <v>0</v>
      </c>
      <c r="L290" s="48">
        <v>0</v>
      </c>
      <c r="M290" s="48">
        <f t="shared" si="11"/>
        <v>0</v>
      </c>
    </row>
    <row r="291" spans="2:13" x14ac:dyDescent="0.35">
      <c r="B291" s="60" t="s">
        <v>348</v>
      </c>
      <c r="C291" s="48">
        <v>0</v>
      </c>
      <c r="D291" s="48">
        <v>0</v>
      </c>
      <c r="E291" s="48">
        <v>0</v>
      </c>
      <c r="F291" s="48">
        <v>0</v>
      </c>
      <c r="G291" s="48">
        <v>0</v>
      </c>
      <c r="H291" s="48">
        <v>0</v>
      </c>
      <c r="I291" s="48">
        <v>0</v>
      </c>
      <c r="J291" s="49">
        <v>0</v>
      </c>
      <c r="K291" s="48">
        <f t="shared" si="12"/>
        <v>0</v>
      </c>
      <c r="L291" s="48">
        <v>0</v>
      </c>
      <c r="M291" s="48">
        <f t="shared" si="11"/>
        <v>0</v>
      </c>
    </row>
    <row r="292" spans="2:13" x14ac:dyDescent="0.35">
      <c r="B292" s="60" t="s">
        <v>317</v>
      </c>
      <c r="C292" s="48">
        <v>0</v>
      </c>
      <c r="D292" s="48">
        <v>0</v>
      </c>
      <c r="E292" s="48">
        <v>0</v>
      </c>
      <c r="F292" s="48">
        <v>0</v>
      </c>
      <c r="G292" s="48">
        <v>0</v>
      </c>
      <c r="H292" s="48">
        <v>0</v>
      </c>
      <c r="I292" s="48">
        <v>0</v>
      </c>
      <c r="J292" s="49">
        <v>0</v>
      </c>
      <c r="K292" s="48">
        <f t="shared" si="12"/>
        <v>0</v>
      </c>
      <c r="L292" s="48">
        <v>0</v>
      </c>
      <c r="M292" s="48">
        <f t="shared" si="11"/>
        <v>0</v>
      </c>
    </row>
    <row r="293" spans="2:13" x14ac:dyDescent="0.35">
      <c r="B293" s="60" t="s">
        <v>318</v>
      </c>
      <c r="C293" s="48">
        <v>232.82</v>
      </c>
      <c r="D293" s="48">
        <v>0</v>
      </c>
      <c r="E293" s="48">
        <v>0</v>
      </c>
      <c r="F293" s="48">
        <v>265.85000000000002</v>
      </c>
      <c r="G293" s="48">
        <v>39.159999999999997</v>
      </c>
      <c r="H293" s="48">
        <v>0</v>
      </c>
      <c r="I293" s="48">
        <v>0</v>
      </c>
      <c r="J293" s="49">
        <v>0</v>
      </c>
      <c r="K293" s="48">
        <f t="shared" si="12"/>
        <v>13.969199999999999</v>
      </c>
      <c r="L293" s="48">
        <v>0</v>
      </c>
      <c r="M293" s="48">
        <f t="shared" si="11"/>
        <v>537.83000000000004</v>
      </c>
    </row>
    <row r="294" spans="2:13" x14ac:dyDescent="0.35">
      <c r="B294" s="11" t="s">
        <v>319</v>
      </c>
      <c r="C294" s="48">
        <v>124.52</v>
      </c>
      <c r="D294" s="48">
        <v>0</v>
      </c>
      <c r="E294" s="48">
        <v>0</v>
      </c>
      <c r="F294" s="48">
        <v>133.71</v>
      </c>
      <c r="G294" s="48">
        <v>20.88</v>
      </c>
      <c r="H294" s="48">
        <v>0</v>
      </c>
      <c r="I294" s="48">
        <v>0</v>
      </c>
      <c r="J294" s="49">
        <v>0</v>
      </c>
      <c r="K294" s="48">
        <f t="shared" si="12"/>
        <v>7.4711999999999996</v>
      </c>
      <c r="L294" s="48">
        <v>0</v>
      </c>
      <c r="M294" s="48">
        <f t="shared" si="11"/>
        <v>279.11</v>
      </c>
    </row>
    <row r="295" spans="2:13" x14ac:dyDescent="0.35">
      <c r="B295" s="11" t="s">
        <v>335</v>
      </c>
      <c r="C295" s="12">
        <v>264.26</v>
      </c>
      <c r="D295" s="12">
        <v>0</v>
      </c>
      <c r="E295" s="12">
        <v>0</v>
      </c>
      <c r="F295" s="48">
        <v>241.93</v>
      </c>
      <c r="G295" s="48">
        <v>39.159999999999997</v>
      </c>
      <c r="H295" s="12">
        <v>0</v>
      </c>
      <c r="I295" s="12">
        <v>0</v>
      </c>
      <c r="J295" s="13">
        <v>0</v>
      </c>
      <c r="K295" s="48">
        <f t="shared" si="12"/>
        <v>15.855599999999999</v>
      </c>
      <c r="L295" s="12">
        <v>0</v>
      </c>
      <c r="M295" s="48">
        <f t="shared" si="11"/>
        <v>545.35</v>
      </c>
    </row>
    <row r="296" spans="2:13" x14ac:dyDescent="0.35">
      <c r="B296" s="11" t="s">
        <v>320</v>
      </c>
      <c r="C296" s="12">
        <v>0</v>
      </c>
      <c r="D296" s="12">
        <v>0</v>
      </c>
      <c r="E296" s="12">
        <v>0</v>
      </c>
      <c r="F296" s="48">
        <v>0</v>
      </c>
      <c r="G296" s="12">
        <v>0</v>
      </c>
      <c r="H296" s="12">
        <v>0</v>
      </c>
      <c r="I296" s="12">
        <v>0</v>
      </c>
      <c r="J296" s="13">
        <v>0</v>
      </c>
      <c r="K296" s="48">
        <f t="shared" si="12"/>
        <v>0</v>
      </c>
      <c r="L296" s="12">
        <v>0</v>
      </c>
      <c r="M296" s="48">
        <f t="shared" si="11"/>
        <v>0</v>
      </c>
    </row>
    <row r="297" spans="2:13" x14ac:dyDescent="0.35">
      <c r="B297" s="64" t="s">
        <v>11</v>
      </c>
      <c r="C297" s="65">
        <f t="shared" ref="C297:M297" si="13">SUM(C8:C296)</f>
        <v>378783.79</v>
      </c>
      <c r="D297" s="65">
        <f t="shared" si="13"/>
        <v>2550.4599999999991</v>
      </c>
      <c r="E297" s="65">
        <f t="shared" si="13"/>
        <v>3577</v>
      </c>
      <c r="F297" s="65">
        <f t="shared" si="13"/>
        <v>102061.5199999998</v>
      </c>
      <c r="G297" s="65">
        <f t="shared" si="13"/>
        <v>65781.469999999958</v>
      </c>
      <c r="H297" s="65">
        <f t="shared" si="13"/>
        <v>0</v>
      </c>
      <c r="I297" s="65">
        <f t="shared" si="13"/>
        <v>10195</v>
      </c>
      <c r="J297" s="65">
        <f t="shared" si="13"/>
        <v>0</v>
      </c>
      <c r="K297" s="65">
        <f t="shared" si="13"/>
        <v>23039.875200000006</v>
      </c>
      <c r="L297" s="65">
        <f t="shared" si="13"/>
        <v>8138.2599999999993</v>
      </c>
      <c r="M297" s="65">
        <f t="shared" si="13"/>
        <v>550697.49999999965</v>
      </c>
    </row>
    <row r="300" spans="2:13" x14ac:dyDescent="0.35">
      <c r="C300" s="4"/>
      <c r="D300" s="4"/>
      <c r="E300" s="4"/>
      <c r="F300" s="4"/>
      <c r="G300" s="4"/>
      <c r="M300" s="4"/>
    </row>
  </sheetData>
  <mergeCells count="2">
    <mergeCell ref="B2:M4"/>
    <mergeCell ref="B5:M6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56" fitToHeight="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K303"/>
  <sheetViews>
    <sheetView showGridLines="0" zoomScale="80" zoomScaleNormal="80" zoomScalePageLayoutView="84" workbookViewId="0">
      <pane ySplit="6" topLeftCell="A7" activePane="bottomLeft" state="frozen"/>
      <selection pane="bottomLeft"/>
    </sheetView>
  </sheetViews>
  <sheetFormatPr defaultColWidth="8.54296875" defaultRowHeight="14.5" x14ac:dyDescent="0.35"/>
  <cols>
    <col min="1" max="1" width="1.453125" style="3" bestFit="1" customWidth="1"/>
    <col min="2" max="2" width="28.54296875" bestFit="1" customWidth="1"/>
    <col min="3" max="3" width="14.453125" hidden="1" customWidth="1"/>
    <col min="4" max="5" width="12.26953125" hidden="1" customWidth="1"/>
    <col min="6" max="7" width="13.453125" hidden="1" customWidth="1"/>
    <col min="8" max="8" width="8.54296875" hidden="1" customWidth="1"/>
    <col min="9" max="9" width="13.453125" hidden="1" customWidth="1"/>
    <col min="10" max="10" width="7.7265625" hidden="1" customWidth="1"/>
    <col min="11" max="11" width="13.453125" hidden="1" customWidth="1"/>
    <col min="12" max="12" width="12.26953125" hidden="1" customWidth="1"/>
    <col min="13" max="13" width="14.453125" bestFit="1" customWidth="1"/>
    <col min="14" max="14" width="14.453125" style="3" bestFit="1" customWidth="1"/>
    <col min="15" max="17" width="13.453125" style="3" bestFit="1" customWidth="1"/>
    <col min="18" max="18" width="12.26953125" style="3" bestFit="1" customWidth="1"/>
    <col min="19" max="20" width="13.453125" style="3" bestFit="1" customWidth="1"/>
    <col min="21" max="22" width="13.54296875" style="3" bestFit="1" customWidth="1"/>
    <col min="23" max="23" width="13.453125" style="3" bestFit="1" customWidth="1"/>
    <col min="24" max="24" width="12.26953125" style="3" bestFit="1" customWidth="1"/>
    <col min="25" max="25" width="13.453125" style="3" bestFit="1" customWidth="1"/>
    <col min="26" max="26" width="12.26953125" style="3" bestFit="1" customWidth="1"/>
    <col min="27" max="34" width="13.453125" style="3" bestFit="1" customWidth="1"/>
    <col min="35" max="16384" width="8.54296875" style="3"/>
  </cols>
  <sheetData>
    <row r="2" spans="1:37" ht="15" customHeight="1" x14ac:dyDescent="0.3"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pans="1:37" ht="15" customHeight="1" x14ac:dyDescent="0.3"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 spans="1:37" ht="15" customHeight="1" x14ac:dyDescent="0.3"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pans="1:37" customFormat="1" x14ac:dyDescent="0.35">
      <c r="B5" s="85" t="s">
        <v>379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</row>
    <row r="6" spans="1:37" customFormat="1" x14ac:dyDescent="0.35"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</row>
    <row r="7" spans="1:37" customFormat="1" ht="15" customHeight="1" x14ac:dyDescent="0.35">
      <c r="A7" t="s">
        <v>358</v>
      </c>
      <c r="B7" s="86" t="s">
        <v>55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8"/>
      <c r="N7" s="34" t="s">
        <v>355</v>
      </c>
      <c r="O7" s="34" t="s">
        <v>56</v>
      </c>
      <c r="P7" s="34" t="s">
        <v>57</v>
      </c>
      <c r="Q7" s="34" t="s">
        <v>58</v>
      </c>
      <c r="R7" s="34" t="s">
        <v>59</v>
      </c>
      <c r="S7" s="34" t="s">
        <v>60</v>
      </c>
      <c r="T7" s="34" t="s">
        <v>61</v>
      </c>
      <c r="U7" s="34" t="s">
        <v>352</v>
      </c>
      <c r="V7" s="34" t="s">
        <v>354</v>
      </c>
      <c r="W7" s="34" t="s">
        <v>62</v>
      </c>
      <c r="X7" s="34" t="s">
        <v>63</v>
      </c>
      <c r="Y7" s="34" t="s">
        <v>367</v>
      </c>
      <c r="Z7" s="34" t="s">
        <v>117</v>
      </c>
      <c r="AA7" s="34" t="s">
        <v>64</v>
      </c>
      <c r="AB7" s="34" t="s">
        <v>65</v>
      </c>
      <c r="AC7" s="34" t="s">
        <v>66</v>
      </c>
      <c r="AD7" s="34" t="s">
        <v>67</v>
      </c>
      <c r="AE7" s="34" t="s">
        <v>68</v>
      </c>
      <c r="AF7" s="34" t="s">
        <v>339</v>
      </c>
      <c r="AG7" s="34" t="s">
        <v>362</v>
      </c>
      <c r="AH7" s="34" t="s">
        <v>69</v>
      </c>
    </row>
    <row r="8" spans="1:37" customFormat="1" ht="15" customHeight="1" x14ac:dyDescent="0.35">
      <c r="B8" s="89"/>
      <c r="C8" s="90"/>
      <c r="D8" s="90"/>
      <c r="E8" s="90"/>
      <c r="F8" s="90"/>
      <c r="G8" s="90"/>
      <c r="H8" s="90"/>
      <c r="I8" s="90"/>
      <c r="J8" s="90"/>
      <c r="K8" s="90"/>
      <c r="L8" s="90"/>
      <c r="M8" s="91"/>
      <c r="N8" s="92">
        <v>0.24</v>
      </c>
      <c r="O8" s="82">
        <v>0</v>
      </c>
      <c r="P8" s="82">
        <v>0</v>
      </c>
      <c r="Q8" s="82">
        <v>0</v>
      </c>
      <c r="R8" s="81">
        <v>0</v>
      </c>
      <c r="S8" s="81">
        <v>0.04</v>
      </c>
      <c r="T8" s="81">
        <v>0.04</v>
      </c>
      <c r="U8" s="81">
        <v>0.02</v>
      </c>
      <c r="V8" s="81">
        <v>0.02</v>
      </c>
      <c r="W8" s="81">
        <v>0</v>
      </c>
      <c r="X8" s="81">
        <v>0</v>
      </c>
      <c r="Y8" s="81">
        <v>0.04</v>
      </c>
      <c r="Z8" s="81">
        <v>0</v>
      </c>
      <c r="AA8" s="81">
        <v>0.05</v>
      </c>
      <c r="AB8" s="81">
        <v>0.05</v>
      </c>
      <c r="AC8" s="81">
        <v>0.05</v>
      </c>
      <c r="AD8" s="81">
        <v>0.05</v>
      </c>
      <c r="AE8" s="81">
        <v>0</v>
      </c>
      <c r="AF8" s="81">
        <v>0.1</v>
      </c>
      <c r="AG8" s="81">
        <v>0.1</v>
      </c>
      <c r="AH8" s="81">
        <v>0.2</v>
      </c>
    </row>
    <row r="9" spans="1:37" customFormat="1" x14ac:dyDescent="0.35">
      <c r="B9" s="14" t="s">
        <v>0</v>
      </c>
      <c r="C9" s="15" t="s">
        <v>1</v>
      </c>
      <c r="D9" s="15"/>
      <c r="E9" s="15"/>
      <c r="F9" s="15"/>
      <c r="G9" s="15"/>
      <c r="H9" s="15"/>
      <c r="I9" s="15"/>
      <c r="J9" s="15"/>
      <c r="K9" s="15"/>
      <c r="L9" s="15"/>
      <c r="M9" s="39" t="s">
        <v>1</v>
      </c>
      <c r="N9" s="92"/>
      <c r="O9" s="82"/>
      <c r="P9" s="82"/>
      <c r="Q9" s="82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</row>
    <row r="10" spans="1:37" customFormat="1" ht="15" customHeight="1" x14ac:dyDescent="0.35">
      <c r="B10" s="60" t="s">
        <v>12</v>
      </c>
      <c r="C10" s="47">
        <v>12691.68</v>
      </c>
      <c r="D10" s="47">
        <v>0</v>
      </c>
      <c r="E10" s="47">
        <v>0</v>
      </c>
      <c r="F10" s="47">
        <v>0</v>
      </c>
      <c r="G10" s="47">
        <v>11802.24</v>
      </c>
      <c r="H10" s="47">
        <v>0</v>
      </c>
      <c r="I10" s="47">
        <v>0</v>
      </c>
      <c r="J10" s="47">
        <v>0</v>
      </c>
      <c r="K10" s="48">
        <f t="shared" ref="K10:K11" si="0">(C10+D10+E10)*6%</f>
        <v>761.50080000000003</v>
      </c>
      <c r="L10" s="47">
        <v>0</v>
      </c>
      <c r="M10" s="48">
        <f t="shared" ref="M10:M13" si="1">C10+D10+E10+F10+G10+H10+J10+L10-I10</f>
        <v>24493.919999999998</v>
      </c>
      <c r="N10" s="41">
        <f t="shared" ref="N10:AH10" si="2">$M$10*N8</f>
        <v>5878.5407999999998</v>
      </c>
      <c r="O10" s="41">
        <f t="shared" si="2"/>
        <v>0</v>
      </c>
      <c r="P10" s="41">
        <f t="shared" si="2"/>
        <v>0</v>
      </c>
      <c r="Q10" s="41">
        <f t="shared" si="2"/>
        <v>0</v>
      </c>
      <c r="R10" s="41">
        <f t="shared" si="2"/>
        <v>0</v>
      </c>
      <c r="S10" s="41">
        <f t="shared" si="2"/>
        <v>979.7568</v>
      </c>
      <c r="T10" s="41">
        <f t="shared" si="2"/>
        <v>979.7568</v>
      </c>
      <c r="U10" s="41">
        <f t="shared" si="2"/>
        <v>489.8784</v>
      </c>
      <c r="V10" s="41">
        <f t="shared" si="2"/>
        <v>489.8784</v>
      </c>
      <c r="W10" s="41">
        <f t="shared" si="2"/>
        <v>0</v>
      </c>
      <c r="X10" s="41">
        <f t="shared" si="2"/>
        <v>0</v>
      </c>
      <c r="Y10" s="41">
        <f t="shared" ref="Y10" si="3">$M$10*Y8</f>
        <v>979.7568</v>
      </c>
      <c r="Z10" s="41">
        <f t="shared" si="2"/>
        <v>0</v>
      </c>
      <c r="AA10" s="41">
        <f t="shared" si="2"/>
        <v>1224.6959999999999</v>
      </c>
      <c r="AB10" s="41">
        <f t="shared" si="2"/>
        <v>1224.6959999999999</v>
      </c>
      <c r="AC10" s="41">
        <f t="shared" si="2"/>
        <v>1224.6959999999999</v>
      </c>
      <c r="AD10" s="41">
        <f t="shared" si="2"/>
        <v>1224.6959999999999</v>
      </c>
      <c r="AE10" s="41">
        <f t="shared" si="2"/>
        <v>0</v>
      </c>
      <c r="AF10" s="41">
        <f t="shared" ref="AF10:AG10" si="4">$M$10*AF8</f>
        <v>2449.3919999999998</v>
      </c>
      <c r="AG10" s="41">
        <f t="shared" si="4"/>
        <v>2449.3919999999998</v>
      </c>
      <c r="AH10" s="41">
        <f t="shared" si="2"/>
        <v>4898.7839999999997</v>
      </c>
      <c r="AI10" s="1"/>
      <c r="AJ10" s="1"/>
      <c r="AK10" s="1"/>
    </row>
    <row r="11" spans="1:37" customFormat="1" ht="15" customHeight="1" x14ac:dyDescent="0.35">
      <c r="B11" s="60" t="s">
        <v>13</v>
      </c>
      <c r="C11" s="47">
        <v>27461.37</v>
      </c>
      <c r="D11" s="47">
        <v>0</v>
      </c>
      <c r="E11" s="47">
        <v>0</v>
      </c>
      <c r="F11" s="47">
        <v>0</v>
      </c>
      <c r="G11" s="47">
        <v>11802.24</v>
      </c>
      <c r="H11" s="47">
        <v>0</v>
      </c>
      <c r="I11" s="47">
        <v>0</v>
      </c>
      <c r="J11" s="47">
        <v>0</v>
      </c>
      <c r="K11" s="48">
        <f t="shared" si="0"/>
        <v>1647.6822</v>
      </c>
      <c r="L11" s="47">
        <v>0</v>
      </c>
      <c r="M11" s="48">
        <f t="shared" si="1"/>
        <v>39263.61</v>
      </c>
      <c r="N11" s="41">
        <f t="shared" ref="N11:AH11" si="5">$M$11*N8</f>
        <v>9423.2664000000004</v>
      </c>
      <c r="O11" s="41">
        <f t="shared" si="5"/>
        <v>0</v>
      </c>
      <c r="P11" s="41">
        <f t="shared" si="5"/>
        <v>0</v>
      </c>
      <c r="Q11" s="41">
        <f t="shared" si="5"/>
        <v>0</v>
      </c>
      <c r="R11" s="41">
        <f t="shared" si="5"/>
        <v>0</v>
      </c>
      <c r="S11" s="41">
        <f t="shared" si="5"/>
        <v>1570.5444</v>
      </c>
      <c r="T11" s="41">
        <f t="shared" si="5"/>
        <v>1570.5444</v>
      </c>
      <c r="U11" s="41">
        <f t="shared" si="5"/>
        <v>785.2722</v>
      </c>
      <c r="V11" s="41">
        <f t="shared" si="5"/>
        <v>785.2722</v>
      </c>
      <c r="W11" s="41">
        <f t="shared" si="5"/>
        <v>0</v>
      </c>
      <c r="X11" s="41">
        <f t="shared" si="5"/>
        <v>0</v>
      </c>
      <c r="Y11" s="41">
        <f t="shared" ref="Y11" si="6">$M$11*Y8</f>
        <v>1570.5444</v>
      </c>
      <c r="Z11" s="41">
        <f t="shared" si="5"/>
        <v>0</v>
      </c>
      <c r="AA11" s="41">
        <f t="shared" si="5"/>
        <v>1963.1805000000002</v>
      </c>
      <c r="AB11" s="41">
        <f t="shared" si="5"/>
        <v>1963.1805000000002</v>
      </c>
      <c r="AC11" s="41">
        <f t="shared" si="5"/>
        <v>1963.1805000000002</v>
      </c>
      <c r="AD11" s="41">
        <f t="shared" si="5"/>
        <v>1963.1805000000002</v>
      </c>
      <c r="AE11" s="41">
        <f t="shared" si="5"/>
        <v>0</v>
      </c>
      <c r="AF11" s="41">
        <f t="shared" ref="AF11:AG11" si="7">$M$11*AF8</f>
        <v>3926.3610000000003</v>
      </c>
      <c r="AG11" s="41">
        <f t="shared" si="7"/>
        <v>3926.3610000000003</v>
      </c>
      <c r="AH11" s="41">
        <f t="shared" si="5"/>
        <v>7852.7220000000007</v>
      </c>
      <c r="AI11" s="1"/>
      <c r="AJ11" s="1"/>
      <c r="AK11" s="1"/>
    </row>
    <row r="12" spans="1:37" customFormat="1" ht="15" customHeight="1" x14ac:dyDescent="0.35">
      <c r="B12" s="60" t="s">
        <v>14</v>
      </c>
      <c r="C12" s="47">
        <f>114027.58-9904.5-5281.24-29071.04</f>
        <v>69770.799999999988</v>
      </c>
      <c r="D12" s="47">
        <v>0</v>
      </c>
      <c r="E12" s="47">
        <v>0</v>
      </c>
      <c r="F12" s="47">
        <v>0</v>
      </c>
      <c r="G12" s="47">
        <v>0</v>
      </c>
      <c r="H12" s="48">
        <v>0</v>
      </c>
      <c r="I12" s="48">
        <v>0</v>
      </c>
      <c r="J12" s="49">
        <v>0</v>
      </c>
      <c r="K12" s="48">
        <f>(C12+D12+E12)*6%</f>
        <v>4186.2479999999996</v>
      </c>
      <c r="L12" s="48">
        <v>0</v>
      </c>
      <c r="M12" s="48">
        <f t="shared" si="1"/>
        <v>69770.799999999988</v>
      </c>
      <c r="N12" s="41">
        <f t="shared" ref="N12:AH12" si="8">$M$12*N8</f>
        <v>16744.991999999998</v>
      </c>
      <c r="O12" s="41">
        <f t="shared" si="8"/>
        <v>0</v>
      </c>
      <c r="P12" s="41">
        <f t="shared" si="8"/>
        <v>0</v>
      </c>
      <c r="Q12" s="41">
        <f t="shared" si="8"/>
        <v>0</v>
      </c>
      <c r="R12" s="41">
        <f t="shared" si="8"/>
        <v>0</v>
      </c>
      <c r="S12" s="41">
        <f t="shared" si="8"/>
        <v>2790.8319999999994</v>
      </c>
      <c r="T12" s="41">
        <f t="shared" si="8"/>
        <v>2790.8319999999994</v>
      </c>
      <c r="U12" s="41">
        <f t="shared" si="8"/>
        <v>1395.4159999999997</v>
      </c>
      <c r="V12" s="41">
        <f t="shared" si="8"/>
        <v>1395.4159999999997</v>
      </c>
      <c r="W12" s="41">
        <f t="shared" si="8"/>
        <v>0</v>
      </c>
      <c r="X12" s="41">
        <f t="shared" si="8"/>
        <v>0</v>
      </c>
      <c r="Y12" s="41">
        <f t="shared" ref="Y12" si="9">$M$12*Y8</f>
        <v>2790.8319999999994</v>
      </c>
      <c r="Z12" s="41">
        <f t="shared" si="8"/>
        <v>0</v>
      </c>
      <c r="AA12" s="41">
        <f t="shared" si="8"/>
        <v>3488.5399999999995</v>
      </c>
      <c r="AB12" s="41">
        <f t="shared" si="8"/>
        <v>3488.5399999999995</v>
      </c>
      <c r="AC12" s="41">
        <f t="shared" si="8"/>
        <v>3488.5399999999995</v>
      </c>
      <c r="AD12" s="41">
        <f t="shared" si="8"/>
        <v>3488.5399999999995</v>
      </c>
      <c r="AE12" s="41">
        <f t="shared" si="8"/>
        <v>0</v>
      </c>
      <c r="AF12" s="41">
        <f t="shared" si="8"/>
        <v>6977.079999999999</v>
      </c>
      <c r="AG12" s="41">
        <f t="shared" si="8"/>
        <v>6977.079999999999</v>
      </c>
      <c r="AH12" s="41">
        <f t="shared" si="8"/>
        <v>13954.159999999998</v>
      </c>
      <c r="AI12" s="1"/>
      <c r="AJ12" s="1"/>
      <c r="AK12" s="1"/>
    </row>
    <row r="13" spans="1:37" customFormat="1" ht="15" customHeight="1" x14ac:dyDescent="0.35">
      <c r="B13" s="60" t="s">
        <v>15</v>
      </c>
      <c r="C13" s="47">
        <f>262539.39-97971.06-19679.85</f>
        <v>144888.48000000001</v>
      </c>
      <c r="D13" s="47">
        <v>0</v>
      </c>
      <c r="E13" s="47">
        <v>0</v>
      </c>
      <c r="F13" s="47">
        <v>0</v>
      </c>
      <c r="G13" s="47">
        <v>29268.39</v>
      </c>
      <c r="H13" s="48">
        <v>0</v>
      </c>
      <c r="I13" s="48">
        <f>145.51+145.51+695.47+695.47+7817.55+695.49</f>
        <v>10195</v>
      </c>
      <c r="J13" s="49">
        <v>0</v>
      </c>
      <c r="K13" s="48">
        <f t="shared" ref="K13" si="10">(C13+D13+E13)*6%</f>
        <v>8693.3088000000007</v>
      </c>
      <c r="L13" s="48">
        <f>1051.25+4794.07+1519.59</f>
        <v>7364.91</v>
      </c>
      <c r="M13" s="48">
        <f t="shared" si="1"/>
        <v>171326.78</v>
      </c>
      <c r="N13" s="41">
        <f>$M$13*$N8-7913.17</f>
        <v>33205.2572</v>
      </c>
      <c r="O13" s="41">
        <f t="shared" ref="O13:AH13" si="11">$M$13*O$8</f>
        <v>0</v>
      </c>
      <c r="P13" s="41">
        <f t="shared" si="11"/>
        <v>0</v>
      </c>
      <c r="Q13" s="41">
        <f t="shared" si="11"/>
        <v>0</v>
      </c>
      <c r="R13" s="41">
        <f t="shared" si="11"/>
        <v>0</v>
      </c>
      <c r="S13" s="41">
        <f>$M$13*S$8-422.44</f>
        <v>6430.6312000000007</v>
      </c>
      <c r="T13" s="41">
        <f>$M$13*T$8-422.44</f>
        <v>6430.6312000000007</v>
      </c>
      <c r="U13" s="41">
        <f t="shared" si="11"/>
        <v>3426.5356000000002</v>
      </c>
      <c r="V13" s="41">
        <f t="shared" si="11"/>
        <v>3426.5356000000002</v>
      </c>
      <c r="W13" s="41">
        <f>$M$13*W$8</f>
        <v>0</v>
      </c>
      <c r="X13" s="41">
        <f t="shared" si="11"/>
        <v>0</v>
      </c>
      <c r="Y13" s="41">
        <f>$M$13*Y$8</f>
        <v>6853.0712000000003</v>
      </c>
      <c r="Z13" s="41">
        <f t="shared" si="11"/>
        <v>0</v>
      </c>
      <c r="AA13" s="41">
        <f>$M$13*AA$8-796.97</f>
        <v>7769.3689999999997</v>
      </c>
      <c r="AB13" s="41">
        <f>$M$13*AB$8-796.97</f>
        <v>7769.3689999999997</v>
      </c>
      <c r="AC13" s="41">
        <f>$M$13*AC$8-796.97</f>
        <v>7769.3689999999997</v>
      </c>
      <c r="AD13" s="41">
        <f>$M$13*AD$8</f>
        <v>8566.3389999999999</v>
      </c>
      <c r="AE13" s="41">
        <f t="shared" si="11"/>
        <v>0</v>
      </c>
      <c r="AF13" s="41">
        <f t="shared" si="11"/>
        <v>17132.678</v>
      </c>
      <c r="AG13" s="41">
        <f t="shared" si="11"/>
        <v>17132.678</v>
      </c>
      <c r="AH13" s="41">
        <f t="shared" si="11"/>
        <v>34265.356</v>
      </c>
      <c r="AI13" s="1"/>
      <c r="AJ13" s="1"/>
      <c r="AK13" s="1"/>
    </row>
    <row r="14" spans="1:37" customFormat="1" ht="15" customHeight="1" x14ac:dyDescent="0.35">
      <c r="B14" s="83" t="s">
        <v>55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34" t="s">
        <v>355</v>
      </c>
      <c r="O14" s="34" t="s">
        <v>56</v>
      </c>
      <c r="P14" s="34" t="s">
        <v>57</v>
      </c>
      <c r="Q14" s="34" t="s">
        <v>58</v>
      </c>
      <c r="R14" s="34" t="s">
        <v>59</v>
      </c>
      <c r="S14" s="34" t="s">
        <v>60</v>
      </c>
      <c r="T14" s="34" t="s">
        <v>61</v>
      </c>
      <c r="U14" s="34" t="s">
        <v>352</v>
      </c>
      <c r="V14" s="34" t="s">
        <v>354</v>
      </c>
      <c r="W14" s="34" t="s">
        <v>62</v>
      </c>
      <c r="X14" s="34" t="s">
        <v>63</v>
      </c>
      <c r="Y14" s="34" t="s">
        <v>367</v>
      </c>
      <c r="Z14" s="34" t="s">
        <v>117</v>
      </c>
      <c r="AA14" s="34" t="s">
        <v>64</v>
      </c>
      <c r="AB14" s="34" t="s">
        <v>65</v>
      </c>
      <c r="AC14" s="34" t="s">
        <v>66</v>
      </c>
      <c r="AD14" s="34" t="s">
        <v>67</v>
      </c>
      <c r="AE14" s="34" t="s">
        <v>68</v>
      </c>
      <c r="AF14" s="34" t="s">
        <v>339</v>
      </c>
      <c r="AG14" s="34" t="s">
        <v>362</v>
      </c>
      <c r="AH14" s="34" t="s">
        <v>69</v>
      </c>
      <c r="AI14" s="1"/>
      <c r="AJ14" s="1"/>
      <c r="AK14" s="1"/>
    </row>
    <row r="15" spans="1:37" customFormat="1" ht="15" customHeight="1" x14ac:dyDescent="0.35"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1">
        <v>0.24</v>
      </c>
      <c r="O15" s="84">
        <v>7.9166669999999995E-2</v>
      </c>
      <c r="P15" s="84">
        <v>6.6666669999999997E-2</v>
      </c>
      <c r="Q15" s="84">
        <v>7.9166669999999995E-2</v>
      </c>
      <c r="R15" s="81">
        <v>0</v>
      </c>
      <c r="S15" s="82">
        <v>5.2499999999999998E-2</v>
      </c>
      <c r="T15" s="81">
        <v>0.04</v>
      </c>
      <c r="U15" s="81">
        <v>0.02</v>
      </c>
      <c r="V15" s="81">
        <v>0.02</v>
      </c>
      <c r="W15" s="81">
        <v>0.04</v>
      </c>
      <c r="X15" s="81">
        <v>0</v>
      </c>
      <c r="Y15" s="81">
        <v>0</v>
      </c>
      <c r="Z15" s="82">
        <v>1.2500000000000001E-2</v>
      </c>
      <c r="AA15" s="81">
        <v>0</v>
      </c>
      <c r="AB15" s="81">
        <v>0.05</v>
      </c>
      <c r="AC15" s="81">
        <v>0.05</v>
      </c>
      <c r="AD15" s="81">
        <v>0.05</v>
      </c>
      <c r="AE15" s="81">
        <v>0.2</v>
      </c>
      <c r="AF15" s="81">
        <v>0</v>
      </c>
      <c r="AG15" s="81">
        <v>0</v>
      </c>
      <c r="AH15" s="81">
        <v>0</v>
      </c>
      <c r="AI15" s="1"/>
      <c r="AJ15" s="1"/>
      <c r="AK15" s="1"/>
    </row>
    <row r="16" spans="1:37" customFormat="1" ht="15" customHeight="1" x14ac:dyDescent="0.35">
      <c r="B16" s="14" t="s">
        <v>0</v>
      </c>
      <c r="C16" s="15" t="s">
        <v>1</v>
      </c>
      <c r="D16" s="15"/>
      <c r="E16" s="15"/>
      <c r="F16" s="15"/>
      <c r="G16" s="15"/>
      <c r="H16" s="15"/>
      <c r="I16" s="15"/>
      <c r="J16" s="15"/>
      <c r="K16" s="15"/>
      <c r="L16" s="15"/>
      <c r="M16" s="39" t="s">
        <v>1</v>
      </c>
      <c r="N16" s="81"/>
      <c r="O16" s="84"/>
      <c r="P16" s="84"/>
      <c r="Q16" s="84"/>
      <c r="R16" s="81"/>
      <c r="S16" s="82"/>
      <c r="T16" s="81"/>
      <c r="U16" s="81"/>
      <c r="V16" s="81"/>
      <c r="W16" s="81"/>
      <c r="X16" s="81"/>
      <c r="Y16" s="81"/>
      <c r="Z16" s="82"/>
      <c r="AA16" s="81"/>
      <c r="AB16" s="81"/>
      <c r="AC16" s="81"/>
      <c r="AD16" s="81"/>
      <c r="AE16" s="81"/>
      <c r="AF16" s="81"/>
      <c r="AG16" s="81"/>
      <c r="AH16" s="81"/>
      <c r="AI16" s="1"/>
      <c r="AJ16" s="1"/>
      <c r="AK16" s="1"/>
    </row>
    <row r="17" spans="2:37" customFormat="1" ht="15" customHeight="1" x14ac:dyDescent="0.35">
      <c r="B17" s="60" t="s">
        <v>121</v>
      </c>
      <c r="C17" s="47">
        <f>14443.96-9994.94</f>
        <v>4449.0199999999986</v>
      </c>
      <c r="D17" s="47">
        <v>0</v>
      </c>
      <c r="E17" s="47">
        <v>0</v>
      </c>
      <c r="F17" s="47">
        <v>3383.25</v>
      </c>
      <c r="G17" s="47">
        <v>165.26</v>
      </c>
      <c r="H17" s="48">
        <v>0</v>
      </c>
      <c r="I17" s="48">
        <v>0</v>
      </c>
      <c r="J17" s="49">
        <v>0</v>
      </c>
      <c r="K17" s="48">
        <f t="shared" ref="K17:K80" si="12">(C17+D17+E17)*6%</f>
        <v>266.94119999999992</v>
      </c>
      <c r="L17" s="48">
        <v>0</v>
      </c>
      <c r="M17" s="48">
        <f t="shared" ref="M17:M80" si="13">C17+D17+E17+F17+G17+H17+J17+L17-I17</f>
        <v>7997.5299999999988</v>
      </c>
      <c r="N17" s="41">
        <f t="shared" ref="N17:N76" si="14">M17*$N$15</f>
        <v>1919.4071999999996</v>
      </c>
      <c r="O17" s="41">
        <f t="shared" ref="O17:O76" si="15">M17*$O$15</f>
        <v>633.13781832509983</v>
      </c>
      <c r="P17" s="41">
        <f t="shared" ref="P17:P76" si="16">M17*$P$15</f>
        <v>533.16869332509987</v>
      </c>
      <c r="Q17" s="41">
        <f t="shared" ref="Q17:Q76" si="17">M17*$Q$15</f>
        <v>633.13781832509983</v>
      </c>
      <c r="R17" s="41">
        <f t="shared" ref="R17:R76" si="18">M17*$R$15</f>
        <v>0</v>
      </c>
      <c r="S17" s="41">
        <f t="shared" ref="S17:S76" si="19">M17*$S$15</f>
        <v>419.87032499999992</v>
      </c>
      <c r="T17" s="41">
        <f t="shared" ref="T17:T76" si="20">M17*$T$15</f>
        <v>319.90119999999996</v>
      </c>
      <c r="U17" s="41">
        <f t="shared" ref="U17:U76" si="21">M17*$U$15</f>
        <v>159.95059999999998</v>
      </c>
      <c r="V17" s="41">
        <f t="shared" ref="V17:V77" si="22">M17*$U$15</f>
        <v>159.95059999999998</v>
      </c>
      <c r="W17" s="41">
        <f t="shared" ref="W17:W76" si="23">M17*$W$15</f>
        <v>319.90119999999996</v>
      </c>
      <c r="X17" s="41">
        <f t="shared" ref="X17:Y76" si="24">M17*$X$15</f>
        <v>0</v>
      </c>
      <c r="Y17" s="41">
        <f t="shared" si="24"/>
        <v>0</v>
      </c>
      <c r="Z17" s="41">
        <f t="shared" ref="Z17:Z76" si="25">M17*$Z$15</f>
        <v>99.969124999999991</v>
      </c>
      <c r="AA17" s="41">
        <f t="shared" ref="AA17:AA76" si="26">M17*$AA$15</f>
        <v>0</v>
      </c>
      <c r="AB17" s="41">
        <f t="shared" ref="AB17:AB76" si="27">M17*$AB$15</f>
        <v>399.87649999999996</v>
      </c>
      <c r="AC17" s="41">
        <f t="shared" ref="AC17:AC76" si="28">M17*$AC$15</f>
        <v>399.87649999999996</v>
      </c>
      <c r="AD17" s="41">
        <f t="shared" ref="AD17:AD76" si="29">M17*$AD$15</f>
        <v>399.87649999999996</v>
      </c>
      <c r="AE17" s="41">
        <f t="shared" ref="AE17:AE76" si="30">M17*$AE$15</f>
        <v>1599.5059999999999</v>
      </c>
      <c r="AF17" s="41">
        <f t="shared" ref="AF17:AF76" si="31">L17*$AH$15</f>
        <v>0</v>
      </c>
      <c r="AG17" s="41">
        <f t="shared" ref="AG17:AG77" si="32">M17*$AG$15</f>
        <v>0</v>
      </c>
      <c r="AH17" s="41">
        <f t="shared" ref="AH17:AH76" si="33">M17*$AH$15</f>
        <v>0</v>
      </c>
      <c r="AI17" s="1"/>
      <c r="AJ17" s="1"/>
      <c r="AK17" s="1"/>
    </row>
    <row r="18" spans="2:37" customFormat="1" ht="15" customHeight="1" x14ac:dyDescent="0.35">
      <c r="B18" s="60" t="s">
        <v>122</v>
      </c>
      <c r="C18" s="47">
        <v>1436.57</v>
      </c>
      <c r="D18" s="47">
        <v>0</v>
      </c>
      <c r="E18" s="47">
        <v>0</v>
      </c>
      <c r="F18" s="47">
        <v>419.69</v>
      </c>
      <c r="G18" s="47">
        <v>29.97</v>
      </c>
      <c r="H18" s="48">
        <v>0</v>
      </c>
      <c r="I18" s="48">
        <v>0</v>
      </c>
      <c r="J18" s="49">
        <v>0</v>
      </c>
      <c r="K18" s="48">
        <f t="shared" si="12"/>
        <v>86.194199999999995</v>
      </c>
      <c r="L18" s="48">
        <v>0</v>
      </c>
      <c r="M18" s="48">
        <f t="shared" si="13"/>
        <v>1886.23</v>
      </c>
      <c r="N18" s="41">
        <f t="shared" si="14"/>
        <v>452.6952</v>
      </c>
      <c r="O18" s="41">
        <f t="shared" si="15"/>
        <v>149.32654795409999</v>
      </c>
      <c r="P18" s="41">
        <f t="shared" si="16"/>
        <v>125.7486729541</v>
      </c>
      <c r="Q18" s="41">
        <f t="shared" si="17"/>
        <v>149.32654795409999</v>
      </c>
      <c r="R18" s="41">
        <f t="shared" si="18"/>
        <v>0</v>
      </c>
      <c r="S18" s="41">
        <f t="shared" si="19"/>
        <v>99.027074999999996</v>
      </c>
      <c r="T18" s="41">
        <f t="shared" si="20"/>
        <v>75.449200000000005</v>
      </c>
      <c r="U18" s="41">
        <f t="shared" si="21"/>
        <v>37.724600000000002</v>
      </c>
      <c r="V18" s="41">
        <f t="shared" si="22"/>
        <v>37.724600000000002</v>
      </c>
      <c r="W18" s="41">
        <f t="shared" si="23"/>
        <v>75.449200000000005</v>
      </c>
      <c r="X18" s="41">
        <f t="shared" si="24"/>
        <v>0</v>
      </c>
      <c r="Y18" s="41">
        <f t="shared" si="24"/>
        <v>0</v>
      </c>
      <c r="Z18" s="41">
        <f t="shared" si="25"/>
        <v>23.577875000000002</v>
      </c>
      <c r="AA18" s="41">
        <f t="shared" si="26"/>
        <v>0</v>
      </c>
      <c r="AB18" s="41">
        <f t="shared" si="27"/>
        <v>94.311500000000009</v>
      </c>
      <c r="AC18" s="41">
        <f t="shared" si="28"/>
        <v>94.311500000000009</v>
      </c>
      <c r="AD18" s="41">
        <f t="shared" si="29"/>
        <v>94.311500000000009</v>
      </c>
      <c r="AE18" s="41">
        <f t="shared" si="30"/>
        <v>377.24600000000004</v>
      </c>
      <c r="AF18" s="41">
        <f t="shared" si="31"/>
        <v>0</v>
      </c>
      <c r="AG18" s="41">
        <f t="shared" si="32"/>
        <v>0</v>
      </c>
      <c r="AH18" s="41">
        <f t="shared" si="33"/>
        <v>0</v>
      </c>
      <c r="AI18" s="1"/>
      <c r="AJ18" s="1"/>
      <c r="AK18" s="1"/>
    </row>
    <row r="19" spans="2:37" customFormat="1" ht="15" customHeight="1" x14ac:dyDescent="0.35">
      <c r="B19" s="60" t="s">
        <v>123</v>
      </c>
      <c r="C19" s="47">
        <v>1036.03</v>
      </c>
      <c r="D19" s="47">
        <v>0</v>
      </c>
      <c r="E19" s="47">
        <v>0</v>
      </c>
      <c r="F19" s="47">
        <v>269.85000000000002</v>
      </c>
      <c r="G19" s="47">
        <v>19.309999999999999</v>
      </c>
      <c r="H19" s="48">
        <v>0</v>
      </c>
      <c r="I19" s="48">
        <v>0</v>
      </c>
      <c r="J19" s="49">
        <v>0</v>
      </c>
      <c r="K19" s="48">
        <f t="shared" si="12"/>
        <v>62.161799999999999</v>
      </c>
      <c r="L19" s="48">
        <v>0</v>
      </c>
      <c r="M19" s="48">
        <f t="shared" si="13"/>
        <v>1325.19</v>
      </c>
      <c r="N19" s="41">
        <f t="shared" si="14"/>
        <v>318.04559999999998</v>
      </c>
      <c r="O19" s="41">
        <f t="shared" si="15"/>
        <v>104.91087941729999</v>
      </c>
      <c r="P19" s="41">
        <f t="shared" si="16"/>
        <v>88.346004417299994</v>
      </c>
      <c r="Q19" s="41">
        <f t="shared" si="17"/>
        <v>104.91087941729999</v>
      </c>
      <c r="R19" s="41">
        <f t="shared" si="18"/>
        <v>0</v>
      </c>
      <c r="S19" s="41">
        <f t="shared" si="19"/>
        <v>69.572474999999997</v>
      </c>
      <c r="T19" s="41">
        <f t="shared" si="20"/>
        <v>53.007600000000004</v>
      </c>
      <c r="U19" s="41">
        <f t="shared" si="21"/>
        <v>26.503800000000002</v>
      </c>
      <c r="V19" s="41">
        <f t="shared" si="22"/>
        <v>26.503800000000002</v>
      </c>
      <c r="W19" s="41">
        <f t="shared" si="23"/>
        <v>53.007600000000004</v>
      </c>
      <c r="X19" s="41">
        <f t="shared" si="24"/>
        <v>0</v>
      </c>
      <c r="Y19" s="41">
        <f t="shared" si="24"/>
        <v>0</v>
      </c>
      <c r="Z19" s="41">
        <f t="shared" si="25"/>
        <v>16.564875000000001</v>
      </c>
      <c r="AA19" s="41">
        <f t="shared" si="26"/>
        <v>0</v>
      </c>
      <c r="AB19" s="41">
        <f t="shared" si="27"/>
        <v>66.259500000000003</v>
      </c>
      <c r="AC19" s="41">
        <f t="shared" si="28"/>
        <v>66.259500000000003</v>
      </c>
      <c r="AD19" s="41">
        <f t="shared" si="29"/>
        <v>66.259500000000003</v>
      </c>
      <c r="AE19" s="41">
        <f t="shared" si="30"/>
        <v>265.03800000000001</v>
      </c>
      <c r="AF19" s="41">
        <f t="shared" si="31"/>
        <v>0</v>
      </c>
      <c r="AG19" s="41">
        <f t="shared" si="32"/>
        <v>0</v>
      </c>
      <c r="AH19" s="41">
        <f t="shared" si="33"/>
        <v>0</v>
      </c>
      <c r="AI19" s="1"/>
      <c r="AJ19" s="1"/>
      <c r="AK19" s="1"/>
    </row>
    <row r="20" spans="2:37" customFormat="1" ht="15" customHeight="1" x14ac:dyDescent="0.35">
      <c r="B20" s="60" t="s">
        <v>124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8">
        <v>0</v>
      </c>
      <c r="I20" s="48">
        <v>0</v>
      </c>
      <c r="J20" s="49">
        <v>0</v>
      </c>
      <c r="K20" s="48">
        <f t="shared" si="12"/>
        <v>0</v>
      </c>
      <c r="L20" s="48">
        <v>0</v>
      </c>
      <c r="M20" s="48">
        <f t="shared" si="13"/>
        <v>0</v>
      </c>
      <c r="N20" s="41">
        <f t="shared" si="14"/>
        <v>0</v>
      </c>
      <c r="O20" s="41">
        <f t="shared" si="15"/>
        <v>0</v>
      </c>
      <c r="P20" s="41">
        <f t="shared" si="16"/>
        <v>0</v>
      </c>
      <c r="Q20" s="41">
        <f t="shared" si="17"/>
        <v>0</v>
      </c>
      <c r="R20" s="41">
        <f t="shared" si="18"/>
        <v>0</v>
      </c>
      <c r="S20" s="41">
        <f t="shared" si="19"/>
        <v>0</v>
      </c>
      <c r="T20" s="41">
        <f t="shared" si="20"/>
        <v>0</v>
      </c>
      <c r="U20" s="41">
        <f t="shared" si="21"/>
        <v>0</v>
      </c>
      <c r="V20" s="41">
        <f t="shared" si="22"/>
        <v>0</v>
      </c>
      <c r="W20" s="41">
        <f t="shared" si="23"/>
        <v>0</v>
      </c>
      <c r="X20" s="41">
        <f t="shared" si="24"/>
        <v>0</v>
      </c>
      <c r="Y20" s="41">
        <f t="shared" si="24"/>
        <v>0</v>
      </c>
      <c r="Z20" s="41">
        <f t="shared" si="25"/>
        <v>0</v>
      </c>
      <c r="AA20" s="41">
        <f t="shared" si="26"/>
        <v>0</v>
      </c>
      <c r="AB20" s="41">
        <f t="shared" si="27"/>
        <v>0</v>
      </c>
      <c r="AC20" s="41">
        <f t="shared" si="28"/>
        <v>0</v>
      </c>
      <c r="AD20" s="41">
        <f t="shared" si="29"/>
        <v>0</v>
      </c>
      <c r="AE20" s="41">
        <f t="shared" si="30"/>
        <v>0</v>
      </c>
      <c r="AF20" s="41">
        <f t="shared" si="31"/>
        <v>0</v>
      </c>
      <c r="AG20" s="41">
        <f t="shared" si="32"/>
        <v>0</v>
      </c>
      <c r="AH20" s="41">
        <f t="shared" si="33"/>
        <v>0</v>
      </c>
      <c r="AI20" s="1"/>
      <c r="AJ20" s="1"/>
      <c r="AK20" s="1"/>
    </row>
    <row r="21" spans="2:37" customFormat="1" ht="15" customHeight="1" x14ac:dyDescent="0.35">
      <c r="B21" s="60" t="s">
        <v>125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8">
        <v>0</v>
      </c>
      <c r="I21" s="48">
        <v>0</v>
      </c>
      <c r="J21" s="49">
        <v>0</v>
      </c>
      <c r="K21" s="48">
        <f t="shared" si="12"/>
        <v>0</v>
      </c>
      <c r="L21" s="48">
        <v>0</v>
      </c>
      <c r="M21" s="48">
        <f t="shared" si="13"/>
        <v>0</v>
      </c>
      <c r="N21" s="41">
        <f t="shared" si="14"/>
        <v>0</v>
      </c>
      <c r="O21" s="41">
        <f t="shared" si="15"/>
        <v>0</v>
      </c>
      <c r="P21" s="41">
        <f t="shared" si="16"/>
        <v>0</v>
      </c>
      <c r="Q21" s="41">
        <f t="shared" si="17"/>
        <v>0</v>
      </c>
      <c r="R21" s="41">
        <f t="shared" si="18"/>
        <v>0</v>
      </c>
      <c r="S21" s="41">
        <f t="shared" si="19"/>
        <v>0</v>
      </c>
      <c r="T21" s="41">
        <f t="shared" si="20"/>
        <v>0</v>
      </c>
      <c r="U21" s="41">
        <f t="shared" si="21"/>
        <v>0</v>
      </c>
      <c r="V21" s="41">
        <f t="shared" si="22"/>
        <v>0</v>
      </c>
      <c r="W21" s="41">
        <f t="shared" si="23"/>
        <v>0</v>
      </c>
      <c r="X21" s="41">
        <f t="shared" si="24"/>
        <v>0</v>
      </c>
      <c r="Y21" s="41">
        <f t="shared" si="24"/>
        <v>0</v>
      </c>
      <c r="Z21" s="41">
        <f t="shared" si="25"/>
        <v>0</v>
      </c>
      <c r="AA21" s="41">
        <f t="shared" si="26"/>
        <v>0</v>
      </c>
      <c r="AB21" s="41">
        <f t="shared" si="27"/>
        <v>0</v>
      </c>
      <c r="AC21" s="41">
        <f t="shared" si="28"/>
        <v>0</v>
      </c>
      <c r="AD21" s="41">
        <f t="shared" si="29"/>
        <v>0</v>
      </c>
      <c r="AE21" s="41">
        <f t="shared" si="30"/>
        <v>0</v>
      </c>
      <c r="AF21" s="41">
        <f t="shared" si="31"/>
        <v>0</v>
      </c>
      <c r="AG21" s="41">
        <f t="shared" si="32"/>
        <v>0</v>
      </c>
      <c r="AH21" s="41">
        <f t="shared" si="33"/>
        <v>0</v>
      </c>
      <c r="AI21" s="1"/>
      <c r="AJ21" s="1"/>
      <c r="AK21" s="1"/>
    </row>
    <row r="22" spans="2:37" customFormat="1" ht="15" customHeight="1" x14ac:dyDescent="0.35">
      <c r="B22" s="60" t="s">
        <v>333</v>
      </c>
      <c r="C22" s="47">
        <v>1666.77</v>
      </c>
      <c r="D22" s="47">
        <v>0</v>
      </c>
      <c r="E22" s="47">
        <v>0</v>
      </c>
      <c r="F22" s="47">
        <v>1526.98</v>
      </c>
      <c r="G22" s="47">
        <v>104.47</v>
      </c>
      <c r="H22" s="48">
        <v>0</v>
      </c>
      <c r="I22" s="48">
        <v>0</v>
      </c>
      <c r="J22" s="49">
        <v>0</v>
      </c>
      <c r="K22" s="48">
        <f t="shared" si="12"/>
        <v>100.00619999999999</v>
      </c>
      <c r="L22" s="48">
        <v>209.11</v>
      </c>
      <c r="M22" s="48">
        <f t="shared" si="13"/>
        <v>3507.33</v>
      </c>
      <c r="N22" s="41">
        <f t="shared" si="14"/>
        <v>841.75919999999996</v>
      </c>
      <c r="O22" s="41">
        <f t="shared" si="15"/>
        <v>277.66363669109995</v>
      </c>
      <c r="P22" s="41">
        <f t="shared" si="16"/>
        <v>233.82201169109999</v>
      </c>
      <c r="Q22" s="41">
        <f t="shared" si="17"/>
        <v>277.66363669109995</v>
      </c>
      <c r="R22" s="41">
        <f t="shared" si="18"/>
        <v>0</v>
      </c>
      <c r="S22" s="41">
        <f t="shared" si="19"/>
        <v>184.13482499999998</v>
      </c>
      <c r="T22" s="41">
        <f t="shared" si="20"/>
        <v>140.29320000000001</v>
      </c>
      <c r="U22" s="41">
        <f t="shared" si="21"/>
        <v>70.146600000000007</v>
      </c>
      <c r="V22" s="41">
        <f t="shared" si="22"/>
        <v>70.146600000000007</v>
      </c>
      <c r="W22" s="41">
        <f t="shared" si="23"/>
        <v>140.29320000000001</v>
      </c>
      <c r="X22" s="41">
        <f t="shared" si="24"/>
        <v>0</v>
      </c>
      <c r="Y22" s="41">
        <f t="shared" si="24"/>
        <v>0</v>
      </c>
      <c r="Z22" s="41">
        <f t="shared" si="25"/>
        <v>43.841625000000001</v>
      </c>
      <c r="AA22" s="41">
        <f t="shared" si="26"/>
        <v>0</v>
      </c>
      <c r="AB22" s="41">
        <f t="shared" si="27"/>
        <v>175.3665</v>
      </c>
      <c r="AC22" s="41">
        <f t="shared" si="28"/>
        <v>175.3665</v>
      </c>
      <c r="AD22" s="41">
        <f t="shared" si="29"/>
        <v>175.3665</v>
      </c>
      <c r="AE22" s="41">
        <f t="shared" si="30"/>
        <v>701.46600000000001</v>
      </c>
      <c r="AF22" s="41">
        <f t="shared" si="31"/>
        <v>0</v>
      </c>
      <c r="AG22" s="41">
        <f t="shared" si="32"/>
        <v>0</v>
      </c>
      <c r="AH22" s="41">
        <f t="shared" si="33"/>
        <v>0</v>
      </c>
      <c r="AI22" s="1"/>
      <c r="AJ22" s="1"/>
      <c r="AK22" s="1"/>
    </row>
    <row r="23" spans="2:37" customFormat="1" ht="15" customHeight="1" x14ac:dyDescent="0.35">
      <c r="B23" s="60" t="s">
        <v>322</v>
      </c>
      <c r="C23" s="47">
        <v>1342.42</v>
      </c>
      <c r="D23" s="47">
        <v>0</v>
      </c>
      <c r="E23" s="47">
        <v>0</v>
      </c>
      <c r="F23" s="47">
        <v>1574.98</v>
      </c>
      <c r="G23" s="47">
        <v>104.47</v>
      </c>
      <c r="H23" s="48">
        <v>0</v>
      </c>
      <c r="I23" s="48">
        <v>0</v>
      </c>
      <c r="J23" s="49">
        <v>0</v>
      </c>
      <c r="K23" s="48">
        <f t="shared" si="12"/>
        <v>80.545200000000008</v>
      </c>
      <c r="L23" s="48">
        <v>0</v>
      </c>
      <c r="M23" s="48">
        <f t="shared" si="13"/>
        <v>3021.87</v>
      </c>
      <c r="N23" s="41">
        <f t="shared" si="14"/>
        <v>725.24879999999996</v>
      </c>
      <c r="O23" s="41">
        <f t="shared" si="15"/>
        <v>239.23138507289997</v>
      </c>
      <c r="P23" s="41">
        <f t="shared" si="16"/>
        <v>201.45801007289998</v>
      </c>
      <c r="Q23" s="41">
        <f t="shared" si="17"/>
        <v>239.23138507289997</v>
      </c>
      <c r="R23" s="41">
        <f t="shared" si="18"/>
        <v>0</v>
      </c>
      <c r="S23" s="41">
        <f t="shared" si="19"/>
        <v>158.64817499999998</v>
      </c>
      <c r="T23" s="41">
        <f t="shared" si="20"/>
        <v>120.87479999999999</v>
      </c>
      <c r="U23" s="41">
        <f t="shared" si="21"/>
        <v>60.437399999999997</v>
      </c>
      <c r="V23" s="41">
        <f t="shared" si="22"/>
        <v>60.437399999999997</v>
      </c>
      <c r="W23" s="41">
        <f t="shared" si="23"/>
        <v>120.87479999999999</v>
      </c>
      <c r="X23" s="41">
        <f t="shared" si="24"/>
        <v>0</v>
      </c>
      <c r="Y23" s="41">
        <f t="shared" si="24"/>
        <v>0</v>
      </c>
      <c r="Z23" s="41">
        <f t="shared" si="25"/>
        <v>37.773375000000001</v>
      </c>
      <c r="AA23" s="41">
        <f t="shared" si="26"/>
        <v>0</v>
      </c>
      <c r="AB23" s="41">
        <f t="shared" si="27"/>
        <v>151.09350000000001</v>
      </c>
      <c r="AC23" s="41">
        <f t="shared" si="28"/>
        <v>151.09350000000001</v>
      </c>
      <c r="AD23" s="41">
        <f t="shared" si="29"/>
        <v>151.09350000000001</v>
      </c>
      <c r="AE23" s="41">
        <f t="shared" si="30"/>
        <v>604.37400000000002</v>
      </c>
      <c r="AF23" s="41">
        <f t="shared" si="31"/>
        <v>0</v>
      </c>
      <c r="AG23" s="41">
        <f t="shared" si="32"/>
        <v>0</v>
      </c>
      <c r="AH23" s="41">
        <f t="shared" si="33"/>
        <v>0</v>
      </c>
      <c r="AI23" s="1"/>
      <c r="AJ23" s="1"/>
      <c r="AK23" s="1"/>
    </row>
    <row r="24" spans="2:37" customFormat="1" ht="15" customHeight="1" x14ac:dyDescent="0.35">
      <c r="B24" s="60" t="s">
        <v>322</v>
      </c>
      <c r="C24" s="47">
        <v>1342.42</v>
      </c>
      <c r="D24" s="47">
        <v>0</v>
      </c>
      <c r="E24" s="47">
        <v>0</v>
      </c>
      <c r="F24" s="47">
        <v>1574.98</v>
      </c>
      <c r="G24" s="47">
        <v>104.47</v>
      </c>
      <c r="H24" s="48">
        <v>0</v>
      </c>
      <c r="I24" s="48">
        <v>0</v>
      </c>
      <c r="J24" s="49">
        <v>0</v>
      </c>
      <c r="K24" s="48">
        <f t="shared" si="12"/>
        <v>80.545200000000008</v>
      </c>
      <c r="L24" s="48">
        <v>0</v>
      </c>
      <c r="M24" s="48">
        <f t="shared" si="13"/>
        <v>3021.87</v>
      </c>
      <c r="N24" s="41">
        <f t="shared" si="14"/>
        <v>725.24879999999996</v>
      </c>
      <c r="O24" s="41">
        <f t="shared" si="15"/>
        <v>239.23138507289997</v>
      </c>
      <c r="P24" s="41">
        <f t="shared" si="16"/>
        <v>201.45801007289998</v>
      </c>
      <c r="Q24" s="41">
        <f t="shared" si="17"/>
        <v>239.23138507289997</v>
      </c>
      <c r="R24" s="41">
        <f t="shared" si="18"/>
        <v>0</v>
      </c>
      <c r="S24" s="41">
        <f t="shared" si="19"/>
        <v>158.64817499999998</v>
      </c>
      <c r="T24" s="41">
        <f t="shared" si="20"/>
        <v>120.87479999999999</v>
      </c>
      <c r="U24" s="41">
        <f t="shared" si="21"/>
        <v>60.437399999999997</v>
      </c>
      <c r="V24" s="41">
        <f t="shared" si="22"/>
        <v>60.437399999999997</v>
      </c>
      <c r="W24" s="41">
        <f t="shared" si="23"/>
        <v>120.87479999999999</v>
      </c>
      <c r="X24" s="41">
        <f t="shared" si="24"/>
        <v>0</v>
      </c>
      <c r="Y24" s="41">
        <f t="shared" si="24"/>
        <v>0</v>
      </c>
      <c r="Z24" s="41">
        <f t="shared" si="25"/>
        <v>37.773375000000001</v>
      </c>
      <c r="AA24" s="41">
        <f t="shared" si="26"/>
        <v>0</v>
      </c>
      <c r="AB24" s="41">
        <f t="shared" si="27"/>
        <v>151.09350000000001</v>
      </c>
      <c r="AC24" s="41">
        <f t="shared" si="28"/>
        <v>151.09350000000001</v>
      </c>
      <c r="AD24" s="41">
        <f t="shared" si="29"/>
        <v>151.09350000000001</v>
      </c>
      <c r="AE24" s="41">
        <f t="shared" si="30"/>
        <v>604.37400000000002</v>
      </c>
      <c r="AF24" s="41">
        <f t="shared" si="31"/>
        <v>0</v>
      </c>
      <c r="AG24" s="41">
        <f t="shared" si="32"/>
        <v>0</v>
      </c>
      <c r="AH24" s="41">
        <f t="shared" si="33"/>
        <v>0</v>
      </c>
      <c r="AI24" s="1"/>
      <c r="AJ24" s="1"/>
      <c r="AK24" s="1"/>
    </row>
    <row r="25" spans="2:37" customFormat="1" ht="15" customHeight="1" x14ac:dyDescent="0.35">
      <c r="B25" s="60" t="s">
        <v>126</v>
      </c>
      <c r="C25" s="48">
        <f>999.66</f>
        <v>999.66</v>
      </c>
      <c r="D25" s="48">
        <v>0</v>
      </c>
      <c r="E25" s="48">
        <v>0</v>
      </c>
      <c r="F25" s="48">
        <v>2062.85</v>
      </c>
      <c r="G25" s="47">
        <v>134.79</v>
      </c>
      <c r="H25" s="48">
        <v>0</v>
      </c>
      <c r="I25" s="48">
        <v>0</v>
      </c>
      <c r="J25" s="49">
        <v>0</v>
      </c>
      <c r="K25" s="48">
        <f t="shared" si="12"/>
        <v>59.979599999999998</v>
      </c>
      <c r="L25" s="48">
        <v>0</v>
      </c>
      <c r="M25" s="48">
        <f t="shared" si="13"/>
        <v>3197.2999999999997</v>
      </c>
      <c r="N25" s="41">
        <f t="shared" si="14"/>
        <v>767.35199999999986</v>
      </c>
      <c r="O25" s="41">
        <f t="shared" si="15"/>
        <v>253.11959399099996</v>
      </c>
      <c r="P25" s="41">
        <f t="shared" si="16"/>
        <v>213.15334399099999</v>
      </c>
      <c r="Q25" s="41">
        <f t="shared" si="17"/>
        <v>253.11959399099996</v>
      </c>
      <c r="R25" s="41">
        <f t="shared" si="18"/>
        <v>0</v>
      </c>
      <c r="S25" s="41">
        <f t="shared" si="19"/>
        <v>167.85824999999997</v>
      </c>
      <c r="T25" s="41">
        <f t="shared" si="20"/>
        <v>127.892</v>
      </c>
      <c r="U25" s="41">
        <f t="shared" si="21"/>
        <v>63.945999999999998</v>
      </c>
      <c r="V25" s="41">
        <f t="shared" si="22"/>
        <v>63.945999999999998</v>
      </c>
      <c r="W25" s="41">
        <f t="shared" si="23"/>
        <v>127.892</v>
      </c>
      <c r="X25" s="41">
        <f t="shared" si="24"/>
        <v>0</v>
      </c>
      <c r="Y25" s="41">
        <f t="shared" si="24"/>
        <v>0</v>
      </c>
      <c r="Z25" s="41">
        <f t="shared" si="25"/>
        <v>39.966250000000002</v>
      </c>
      <c r="AA25" s="41">
        <f t="shared" si="26"/>
        <v>0</v>
      </c>
      <c r="AB25" s="41">
        <f t="shared" si="27"/>
        <v>159.86500000000001</v>
      </c>
      <c r="AC25" s="41">
        <f t="shared" si="28"/>
        <v>159.86500000000001</v>
      </c>
      <c r="AD25" s="41">
        <f t="shared" si="29"/>
        <v>159.86500000000001</v>
      </c>
      <c r="AE25" s="41">
        <f t="shared" si="30"/>
        <v>639.46</v>
      </c>
      <c r="AF25" s="41">
        <f t="shared" si="31"/>
        <v>0</v>
      </c>
      <c r="AG25" s="41">
        <f t="shared" si="32"/>
        <v>0</v>
      </c>
      <c r="AH25" s="41">
        <f t="shared" si="33"/>
        <v>0</v>
      </c>
      <c r="AI25" s="1"/>
      <c r="AJ25" s="1"/>
      <c r="AK25" s="1"/>
    </row>
    <row r="26" spans="2:37" customFormat="1" ht="15" customHeight="1" x14ac:dyDescent="0.35">
      <c r="B26" s="60" t="s">
        <v>16</v>
      </c>
      <c r="C26" s="48">
        <f>3428.34-2376.65</f>
        <v>1051.69</v>
      </c>
      <c r="D26" s="48"/>
      <c r="E26" s="48"/>
      <c r="F26" s="48">
        <v>2184.84</v>
      </c>
      <c r="G26" s="47">
        <v>130.1</v>
      </c>
      <c r="H26" s="48"/>
      <c r="I26" s="48"/>
      <c r="J26" s="49"/>
      <c r="K26" s="48">
        <f t="shared" si="12"/>
        <v>63.101399999999998</v>
      </c>
      <c r="L26" s="48"/>
      <c r="M26" s="48">
        <f t="shared" si="13"/>
        <v>3366.63</v>
      </c>
      <c r="N26" s="41">
        <f t="shared" si="14"/>
        <v>807.99120000000005</v>
      </c>
      <c r="O26" s="41">
        <f t="shared" si="15"/>
        <v>266.52488622210001</v>
      </c>
      <c r="P26" s="41">
        <f t="shared" si="16"/>
        <v>224.44201122210001</v>
      </c>
      <c r="Q26" s="41">
        <f t="shared" si="17"/>
        <v>266.52488622210001</v>
      </c>
      <c r="R26" s="41">
        <f t="shared" si="18"/>
        <v>0</v>
      </c>
      <c r="S26" s="41">
        <f t="shared" si="19"/>
        <v>176.748075</v>
      </c>
      <c r="T26" s="41">
        <f t="shared" si="20"/>
        <v>134.6652</v>
      </c>
      <c r="U26" s="41">
        <f t="shared" si="21"/>
        <v>67.332599999999999</v>
      </c>
      <c r="V26" s="41">
        <f t="shared" si="22"/>
        <v>67.332599999999999</v>
      </c>
      <c r="W26" s="41">
        <f t="shared" si="23"/>
        <v>134.6652</v>
      </c>
      <c r="X26" s="41">
        <f t="shared" si="24"/>
        <v>0</v>
      </c>
      <c r="Y26" s="41">
        <f t="shared" si="24"/>
        <v>0</v>
      </c>
      <c r="Z26" s="41">
        <f t="shared" si="25"/>
        <v>42.082875000000001</v>
      </c>
      <c r="AA26" s="41">
        <f t="shared" si="26"/>
        <v>0</v>
      </c>
      <c r="AB26" s="41">
        <f t="shared" si="27"/>
        <v>168.33150000000001</v>
      </c>
      <c r="AC26" s="41">
        <f t="shared" si="28"/>
        <v>168.33150000000001</v>
      </c>
      <c r="AD26" s="41">
        <f t="shared" si="29"/>
        <v>168.33150000000001</v>
      </c>
      <c r="AE26" s="41">
        <f t="shared" si="30"/>
        <v>673.32600000000002</v>
      </c>
      <c r="AF26" s="41">
        <f t="shared" si="31"/>
        <v>0</v>
      </c>
      <c r="AG26" s="41">
        <f t="shared" si="32"/>
        <v>0</v>
      </c>
      <c r="AH26" s="41">
        <f t="shared" si="33"/>
        <v>0</v>
      </c>
      <c r="AI26" s="1"/>
      <c r="AJ26" s="1"/>
      <c r="AK26" s="1"/>
    </row>
    <row r="27" spans="2:37" customFormat="1" ht="15" customHeight="1" x14ac:dyDescent="0.35">
      <c r="B27" s="60" t="s">
        <v>17</v>
      </c>
      <c r="C27" s="48">
        <v>0</v>
      </c>
      <c r="D27" s="48">
        <v>0</v>
      </c>
      <c r="E27" s="48">
        <v>0</v>
      </c>
      <c r="F27" s="48">
        <v>0</v>
      </c>
      <c r="G27" s="47">
        <v>0</v>
      </c>
      <c r="H27" s="48">
        <v>0</v>
      </c>
      <c r="I27" s="48">
        <v>0</v>
      </c>
      <c r="J27" s="49">
        <v>0</v>
      </c>
      <c r="K27" s="48">
        <f t="shared" si="12"/>
        <v>0</v>
      </c>
      <c r="L27" s="48">
        <v>0</v>
      </c>
      <c r="M27" s="48">
        <f t="shared" si="13"/>
        <v>0</v>
      </c>
      <c r="N27" s="41">
        <f t="shared" si="14"/>
        <v>0</v>
      </c>
      <c r="O27" s="41">
        <f t="shared" si="15"/>
        <v>0</v>
      </c>
      <c r="P27" s="41">
        <f t="shared" si="16"/>
        <v>0</v>
      </c>
      <c r="Q27" s="41">
        <f t="shared" si="17"/>
        <v>0</v>
      </c>
      <c r="R27" s="41">
        <f t="shared" si="18"/>
        <v>0</v>
      </c>
      <c r="S27" s="41">
        <f t="shared" si="19"/>
        <v>0</v>
      </c>
      <c r="T27" s="41">
        <f t="shared" si="20"/>
        <v>0</v>
      </c>
      <c r="U27" s="41">
        <f t="shared" si="21"/>
        <v>0</v>
      </c>
      <c r="V27" s="41">
        <f t="shared" si="22"/>
        <v>0</v>
      </c>
      <c r="W27" s="41">
        <f t="shared" si="23"/>
        <v>0</v>
      </c>
      <c r="X27" s="41">
        <f t="shared" si="24"/>
        <v>0</v>
      </c>
      <c r="Y27" s="41">
        <f t="shared" si="24"/>
        <v>0</v>
      </c>
      <c r="Z27" s="41">
        <f t="shared" si="25"/>
        <v>0</v>
      </c>
      <c r="AA27" s="41">
        <f t="shared" si="26"/>
        <v>0</v>
      </c>
      <c r="AB27" s="41">
        <f t="shared" si="27"/>
        <v>0</v>
      </c>
      <c r="AC27" s="41">
        <f t="shared" si="28"/>
        <v>0</v>
      </c>
      <c r="AD27" s="41">
        <f t="shared" si="29"/>
        <v>0</v>
      </c>
      <c r="AE27" s="41">
        <f t="shared" si="30"/>
        <v>0</v>
      </c>
      <c r="AF27" s="41">
        <f t="shared" si="31"/>
        <v>0</v>
      </c>
      <c r="AG27" s="41">
        <f t="shared" si="32"/>
        <v>0</v>
      </c>
      <c r="AH27" s="41">
        <f t="shared" si="33"/>
        <v>0</v>
      </c>
      <c r="AI27" s="1"/>
      <c r="AJ27" s="1"/>
      <c r="AK27" s="1"/>
    </row>
    <row r="28" spans="2:37" customFormat="1" ht="15" customHeight="1" x14ac:dyDescent="0.35">
      <c r="B28" s="60" t="s">
        <v>127</v>
      </c>
      <c r="C28" s="48">
        <v>1754.25</v>
      </c>
      <c r="D28" s="48">
        <v>0</v>
      </c>
      <c r="E28" s="48">
        <v>0</v>
      </c>
      <c r="F28" s="48">
        <v>424.49</v>
      </c>
      <c r="G28" s="47">
        <v>0</v>
      </c>
      <c r="H28" s="48">
        <v>0</v>
      </c>
      <c r="I28" s="48">
        <v>0</v>
      </c>
      <c r="J28" s="49">
        <v>0</v>
      </c>
      <c r="K28" s="48">
        <f t="shared" si="12"/>
        <v>105.255</v>
      </c>
      <c r="L28" s="48">
        <v>0</v>
      </c>
      <c r="M28" s="48">
        <f t="shared" si="13"/>
        <v>2178.7399999999998</v>
      </c>
      <c r="N28" s="41">
        <f t="shared" si="14"/>
        <v>522.8975999999999</v>
      </c>
      <c r="O28" s="41">
        <f t="shared" si="15"/>
        <v>172.48359059579997</v>
      </c>
      <c r="P28" s="41">
        <f t="shared" si="16"/>
        <v>145.24934059579999</v>
      </c>
      <c r="Q28" s="41">
        <f t="shared" si="17"/>
        <v>172.48359059579997</v>
      </c>
      <c r="R28" s="41">
        <f t="shared" si="18"/>
        <v>0</v>
      </c>
      <c r="S28" s="41">
        <f t="shared" si="19"/>
        <v>114.38384999999998</v>
      </c>
      <c r="T28" s="41">
        <f t="shared" si="20"/>
        <v>87.149599999999992</v>
      </c>
      <c r="U28" s="41">
        <f t="shared" si="21"/>
        <v>43.574799999999996</v>
      </c>
      <c r="V28" s="41">
        <f t="shared" si="22"/>
        <v>43.574799999999996</v>
      </c>
      <c r="W28" s="41">
        <f t="shared" si="23"/>
        <v>87.149599999999992</v>
      </c>
      <c r="X28" s="41">
        <f t="shared" si="24"/>
        <v>0</v>
      </c>
      <c r="Y28" s="41">
        <f t="shared" si="24"/>
        <v>0</v>
      </c>
      <c r="Z28" s="41">
        <f t="shared" si="25"/>
        <v>27.234249999999999</v>
      </c>
      <c r="AA28" s="41">
        <f t="shared" si="26"/>
        <v>0</v>
      </c>
      <c r="AB28" s="41">
        <f t="shared" si="27"/>
        <v>108.937</v>
      </c>
      <c r="AC28" s="41">
        <f t="shared" si="28"/>
        <v>108.937</v>
      </c>
      <c r="AD28" s="41">
        <f t="shared" si="29"/>
        <v>108.937</v>
      </c>
      <c r="AE28" s="41">
        <f t="shared" si="30"/>
        <v>435.74799999999999</v>
      </c>
      <c r="AF28" s="41">
        <f t="shared" si="31"/>
        <v>0</v>
      </c>
      <c r="AG28" s="41">
        <f t="shared" si="32"/>
        <v>0</v>
      </c>
      <c r="AH28" s="41">
        <f t="shared" si="33"/>
        <v>0</v>
      </c>
      <c r="AI28" s="1"/>
      <c r="AJ28" s="1"/>
      <c r="AK28" s="1"/>
    </row>
    <row r="29" spans="2:37" customFormat="1" ht="15" customHeight="1" x14ac:dyDescent="0.35">
      <c r="B29" s="60" t="s">
        <v>128</v>
      </c>
      <c r="C29" s="48">
        <f>6275.12-2523.47-467.82-760.25</f>
        <v>2523.58</v>
      </c>
      <c r="D29" s="48">
        <v>0</v>
      </c>
      <c r="E29" s="48">
        <v>0</v>
      </c>
      <c r="F29" s="48">
        <v>3018.63</v>
      </c>
      <c r="G29" s="47">
        <f>81.57+78.84</f>
        <v>160.41</v>
      </c>
      <c r="H29" s="48">
        <v>0</v>
      </c>
      <c r="I29" s="48">
        <v>0</v>
      </c>
      <c r="J29" s="49">
        <v>0</v>
      </c>
      <c r="K29" s="48">
        <f t="shared" si="12"/>
        <v>151.41479999999999</v>
      </c>
      <c r="L29" s="48">
        <v>0</v>
      </c>
      <c r="M29" s="48">
        <f t="shared" si="13"/>
        <v>5702.62</v>
      </c>
      <c r="N29" s="41">
        <f t="shared" si="14"/>
        <v>1368.6288</v>
      </c>
      <c r="O29" s="41">
        <f t="shared" si="15"/>
        <v>451.45743567539995</v>
      </c>
      <c r="P29" s="41">
        <f t="shared" si="16"/>
        <v>380.17468567539999</v>
      </c>
      <c r="Q29" s="41">
        <f t="shared" si="17"/>
        <v>451.45743567539995</v>
      </c>
      <c r="R29" s="41">
        <f t="shared" si="18"/>
        <v>0</v>
      </c>
      <c r="S29" s="41">
        <f t="shared" si="19"/>
        <v>299.38754999999998</v>
      </c>
      <c r="T29" s="41">
        <f t="shared" si="20"/>
        <v>228.10480000000001</v>
      </c>
      <c r="U29" s="41">
        <f t="shared" si="21"/>
        <v>114.05240000000001</v>
      </c>
      <c r="V29" s="41">
        <f t="shared" si="22"/>
        <v>114.05240000000001</v>
      </c>
      <c r="W29" s="41">
        <f t="shared" si="23"/>
        <v>228.10480000000001</v>
      </c>
      <c r="X29" s="41">
        <f t="shared" si="24"/>
        <v>0</v>
      </c>
      <c r="Y29" s="41">
        <f t="shared" si="24"/>
        <v>0</v>
      </c>
      <c r="Z29" s="41">
        <f t="shared" si="25"/>
        <v>71.282750000000007</v>
      </c>
      <c r="AA29" s="41">
        <f t="shared" si="26"/>
        <v>0</v>
      </c>
      <c r="AB29" s="41">
        <f t="shared" si="27"/>
        <v>285.13100000000003</v>
      </c>
      <c r="AC29" s="41">
        <f t="shared" si="28"/>
        <v>285.13100000000003</v>
      </c>
      <c r="AD29" s="41">
        <f t="shared" si="29"/>
        <v>285.13100000000003</v>
      </c>
      <c r="AE29" s="41">
        <f t="shared" si="30"/>
        <v>1140.5240000000001</v>
      </c>
      <c r="AF29" s="41">
        <f t="shared" si="31"/>
        <v>0</v>
      </c>
      <c r="AG29" s="41">
        <f t="shared" si="32"/>
        <v>0</v>
      </c>
      <c r="AH29" s="41">
        <f t="shared" si="33"/>
        <v>0</v>
      </c>
      <c r="AI29" s="1"/>
      <c r="AJ29" s="1"/>
      <c r="AK29" s="1"/>
    </row>
    <row r="30" spans="2:37" customFormat="1" ht="15" customHeight="1" x14ac:dyDescent="0.35">
      <c r="B30" s="60" t="s">
        <v>129</v>
      </c>
      <c r="C30" s="48">
        <v>0</v>
      </c>
      <c r="D30" s="48">
        <v>0</v>
      </c>
      <c r="E30" s="48">
        <v>0</v>
      </c>
      <c r="F30" s="48">
        <v>0</v>
      </c>
      <c r="G30" s="47">
        <v>0</v>
      </c>
      <c r="H30" s="48">
        <v>0</v>
      </c>
      <c r="I30" s="48">
        <v>0</v>
      </c>
      <c r="J30" s="49">
        <v>0</v>
      </c>
      <c r="K30" s="48">
        <f t="shared" si="12"/>
        <v>0</v>
      </c>
      <c r="L30" s="48">
        <v>0</v>
      </c>
      <c r="M30" s="48">
        <f t="shared" si="13"/>
        <v>0</v>
      </c>
      <c r="N30" s="41">
        <f t="shared" si="14"/>
        <v>0</v>
      </c>
      <c r="O30" s="41">
        <f t="shared" si="15"/>
        <v>0</v>
      </c>
      <c r="P30" s="41">
        <f t="shared" si="16"/>
        <v>0</v>
      </c>
      <c r="Q30" s="41">
        <f t="shared" si="17"/>
        <v>0</v>
      </c>
      <c r="R30" s="41">
        <f t="shared" si="18"/>
        <v>0</v>
      </c>
      <c r="S30" s="41">
        <f t="shared" si="19"/>
        <v>0</v>
      </c>
      <c r="T30" s="41">
        <f t="shared" si="20"/>
        <v>0</v>
      </c>
      <c r="U30" s="41">
        <f t="shared" si="21"/>
        <v>0</v>
      </c>
      <c r="V30" s="41">
        <f t="shared" si="22"/>
        <v>0</v>
      </c>
      <c r="W30" s="41">
        <f t="shared" si="23"/>
        <v>0</v>
      </c>
      <c r="X30" s="41">
        <f t="shared" si="24"/>
        <v>0</v>
      </c>
      <c r="Y30" s="41">
        <f t="shared" si="24"/>
        <v>0</v>
      </c>
      <c r="Z30" s="41">
        <f t="shared" si="25"/>
        <v>0</v>
      </c>
      <c r="AA30" s="41">
        <f t="shared" si="26"/>
        <v>0</v>
      </c>
      <c r="AB30" s="41">
        <f t="shared" si="27"/>
        <v>0</v>
      </c>
      <c r="AC30" s="41">
        <f t="shared" si="28"/>
        <v>0</v>
      </c>
      <c r="AD30" s="41">
        <f t="shared" si="29"/>
        <v>0</v>
      </c>
      <c r="AE30" s="41">
        <f t="shared" si="30"/>
        <v>0</v>
      </c>
      <c r="AF30" s="41">
        <f t="shared" si="31"/>
        <v>0</v>
      </c>
      <c r="AG30" s="41">
        <f t="shared" si="32"/>
        <v>0</v>
      </c>
      <c r="AH30" s="41">
        <f t="shared" si="33"/>
        <v>0</v>
      </c>
      <c r="AI30" s="1"/>
      <c r="AJ30" s="1"/>
      <c r="AK30" s="1"/>
    </row>
    <row r="31" spans="2:37" customFormat="1" ht="15" customHeight="1" x14ac:dyDescent="0.35">
      <c r="B31" s="60" t="s">
        <v>130</v>
      </c>
      <c r="C31" s="48">
        <v>800.24</v>
      </c>
      <c r="D31" s="48">
        <v>0</v>
      </c>
      <c r="E31" s="48">
        <v>0</v>
      </c>
      <c r="F31" s="48">
        <v>666.47</v>
      </c>
      <c r="G31" s="47">
        <v>21.07</v>
      </c>
      <c r="H31" s="48">
        <v>0</v>
      </c>
      <c r="I31" s="48">
        <v>0</v>
      </c>
      <c r="J31" s="49">
        <v>0</v>
      </c>
      <c r="K31" s="48">
        <f t="shared" si="12"/>
        <v>48.014400000000002</v>
      </c>
      <c r="L31" s="48">
        <v>0</v>
      </c>
      <c r="M31" s="48">
        <f t="shared" si="13"/>
        <v>1487.78</v>
      </c>
      <c r="N31" s="41">
        <f t="shared" si="14"/>
        <v>357.06719999999996</v>
      </c>
      <c r="O31" s="41">
        <f t="shared" si="15"/>
        <v>117.7825882926</v>
      </c>
      <c r="P31" s="41">
        <f t="shared" si="16"/>
        <v>99.185338292599994</v>
      </c>
      <c r="Q31" s="41">
        <f t="shared" si="17"/>
        <v>117.7825882926</v>
      </c>
      <c r="R31" s="41">
        <f t="shared" si="18"/>
        <v>0</v>
      </c>
      <c r="S31" s="41">
        <f t="shared" si="19"/>
        <v>78.108449999999991</v>
      </c>
      <c r="T31" s="41">
        <f t="shared" si="20"/>
        <v>59.511200000000002</v>
      </c>
      <c r="U31" s="41">
        <f t="shared" si="21"/>
        <v>29.755600000000001</v>
      </c>
      <c r="V31" s="41">
        <f t="shared" si="22"/>
        <v>29.755600000000001</v>
      </c>
      <c r="W31" s="41">
        <f t="shared" si="23"/>
        <v>59.511200000000002</v>
      </c>
      <c r="X31" s="41">
        <f t="shared" si="24"/>
        <v>0</v>
      </c>
      <c r="Y31" s="41">
        <f t="shared" si="24"/>
        <v>0</v>
      </c>
      <c r="Z31" s="41">
        <f t="shared" si="25"/>
        <v>18.597249999999999</v>
      </c>
      <c r="AA31" s="41">
        <f t="shared" si="26"/>
        <v>0</v>
      </c>
      <c r="AB31" s="41">
        <f t="shared" si="27"/>
        <v>74.388999999999996</v>
      </c>
      <c r="AC31" s="41">
        <f t="shared" si="28"/>
        <v>74.388999999999996</v>
      </c>
      <c r="AD31" s="41">
        <f t="shared" si="29"/>
        <v>74.388999999999996</v>
      </c>
      <c r="AE31" s="41">
        <f t="shared" si="30"/>
        <v>297.55599999999998</v>
      </c>
      <c r="AF31" s="41">
        <f t="shared" si="31"/>
        <v>0</v>
      </c>
      <c r="AG31" s="41">
        <f t="shared" si="32"/>
        <v>0</v>
      </c>
      <c r="AH31" s="41">
        <f t="shared" si="33"/>
        <v>0</v>
      </c>
      <c r="AI31" s="1"/>
      <c r="AJ31" s="1"/>
      <c r="AK31" s="1"/>
    </row>
    <row r="32" spans="2:37" customFormat="1" ht="15" customHeight="1" x14ac:dyDescent="0.35">
      <c r="B32" s="60" t="s">
        <v>130</v>
      </c>
      <c r="C32" s="48">
        <v>0</v>
      </c>
      <c r="D32" s="48">
        <v>0</v>
      </c>
      <c r="E32" s="48">
        <v>900</v>
      </c>
      <c r="F32" s="48">
        <v>0</v>
      </c>
      <c r="G32" s="47">
        <v>0</v>
      </c>
      <c r="H32" s="48">
        <v>0</v>
      </c>
      <c r="I32" s="48">
        <v>0</v>
      </c>
      <c r="J32" s="49">
        <v>0</v>
      </c>
      <c r="K32" s="48">
        <f t="shared" si="12"/>
        <v>54</v>
      </c>
      <c r="L32" s="48">
        <v>0</v>
      </c>
      <c r="M32" s="48">
        <f t="shared" si="13"/>
        <v>900</v>
      </c>
      <c r="N32" s="41">
        <f t="shared" si="14"/>
        <v>216</v>
      </c>
      <c r="O32" s="41">
        <f t="shared" si="15"/>
        <v>71.250002999999992</v>
      </c>
      <c r="P32" s="41">
        <f t="shared" si="16"/>
        <v>60.000003</v>
      </c>
      <c r="Q32" s="41">
        <f t="shared" si="17"/>
        <v>71.250002999999992</v>
      </c>
      <c r="R32" s="41">
        <f t="shared" si="18"/>
        <v>0</v>
      </c>
      <c r="S32" s="41">
        <f t="shared" si="19"/>
        <v>47.25</v>
      </c>
      <c r="T32" s="41">
        <f t="shared" si="20"/>
        <v>36</v>
      </c>
      <c r="U32" s="41">
        <f t="shared" si="21"/>
        <v>18</v>
      </c>
      <c r="V32" s="41">
        <f t="shared" si="22"/>
        <v>18</v>
      </c>
      <c r="W32" s="41">
        <f t="shared" si="23"/>
        <v>36</v>
      </c>
      <c r="X32" s="41">
        <f t="shared" si="24"/>
        <v>0</v>
      </c>
      <c r="Y32" s="41">
        <f t="shared" si="24"/>
        <v>0</v>
      </c>
      <c r="Z32" s="41">
        <f t="shared" si="25"/>
        <v>11.25</v>
      </c>
      <c r="AA32" s="41">
        <f t="shared" si="26"/>
        <v>0</v>
      </c>
      <c r="AB32" s="41">
        <f t="shared" si="27"/>
        <v>45</v>
      </c>
      <c r="AC32" s="41">
        <f t="shared" si="28"/>
        <v>45</v>
      </c>
      <c r="AD32" s="41">
        <f t="shared" si="29"/>
        <v>45</v>
      </c>
      <c r="AE32" s="41">
        <f t="shared" si="30"/>
        <v>180</v>
      </c>
      <c r="AF32" s="41">
        <f t="shared" si="31"/>
        <v>0</v>
      </c>
      <c r="AG32" s="41">
        <f t="shared" si="32"/>
        <v>0</v>
      </c>
      <c r="AH32" s="41">
        <f t="shared" si="33"/>
        <v>0</v>
      </c>
      <c r="AI32" s="1"/>
      <c r="AJ32" s="1"/>
      <c r="AK32" s="1"/>
    </row>
    <row r="33" spans="2:37" customFormat="1" ht="15" customHeight="1" x14ac:dyDescent="0.35">
      <c r="B33" s="60" t="s">
        <v>131</v>
      </c>
      <c r="C33" s="48">
        <f>1232.86-378.73</f>
        <v>854.12999999999988</v>
      </c>
      <c r="D33" s="48">
        <v>0</v>
      </c>
      <c r="E33" s="48">
        <v>0</v>
      </c>
      <c r="F33" s="48">
        <v>435.04</v>
      </c>
      <c r="G33" s="47">
        <v>13.76</v>
      </c>
      <c r="H33" s="48">
        <v>0</v>
      </c>
      <c r="I33" s="48">
        <v>0</v>
      </c>
      <c r="J33" s="49">
        <v>0</v>
      </c>
      <c r="K33" s="48">
        <f t="shared" si="12"/>
        <v>51.247799999999991</v>
      </c>
      <c r="L33" s="48">
        <v>0</v>
      </c>
      <c r="M33" s="48">
        <f t="shared" si="13"/>
        <v>1302.9299999999998</v>
      </c>
      <c r="N33" s="41">
        <f t="shared" si="14"/>
        <v>312.70319999999992</v>
      </c>
      <c r="O33" s="41">
        <f t="shared" si="15"/>
        <v>103.14862934309998</v>
      </c>
      <c r="P33" s="41">
        <f t="shared" si="16"/>
        <v>86.862004343099983</v>
      </c>
      <c r="Q33" s="41">
        <f t="shared" si="17"/>
        <v>103.14862934309998</v>
      </c>
      <c r="R33" s="41">
        <f t="shared" si="18"/>
        <v>0</v>
      </c>
      <c r="S33" s="41">
        <f t="shared" si="19"/>
        <v>68.403824999999983</v>
      </c>
      <c r="T33" s="41">
        <f t="shared" si="20"/>
        <v>52.117199999999997</v>
      </c>
      <c r="U33" s="41">
        <f t="shared" si="21"/>
        <v>26.058599999999998</v>
      </c>
      <c r="V33" s="41">
        <f t="shared" si="22"/>
        <v>26.058599999999998</v>
      </c>
      <c r="W33" s="41">
        <f t="shared" si="23"/>
        <v>52.117199999999997</v>
      </c>
      <c r="X33" s="41">
        <f t="shared" si="24"/>
        <v>0</v>
      </c>
      <c r="Y33" s="41">
        <f t="shared" si="24"/>
        <v>0</v>
      </c>
      <c r="Z33" s="41">
        <f t="shared" si="25"/>
        <v>16.286624999999997</v>
      </c>
      <c r="AA33" s="41">
        <f t="shared" si="26"/>
        <v>0</v>
      </c>
      <c r="AB33" s="41">
        <f t="shared" si="27"/>
        <v>65.146499999999989</v>
      </c>
      <c r="AC33" s="41">
        <f t="shared" si="28"/>
        <v>65.146499999999989</v>
      </c>
      <c r="AD33" s="41">
        <f t="shared" si="29"/>
        <v>65.146499999999989</v>
      </c>
      <c r="AE33" s="41">
        <f t="shared" si="30"/>
        <v>260.58599999999996</v>
      </c>
      <c r="AF33" s="41">
        <f t="shared" si="31"/>
        <v>0</v>
      </c>
      <c r="AG33" s="41">
        <f t="shared" si="32"/>
        <v>0</v>
      </c>
      <c r="AH33" s="41">
        <f t="shared" si="33"/>
        <v>0</v>
      </c>
      <c r="AI33" s="1"/>
      <c r="AJ33" s="1"/>
      <c r="AK33" s="1"/>
    </row>
    <row r="34" spans="2:37" customFormat="1" ht="15" customHeight="1" x14ac:dyDescent="0.35">
      <c r="B34" s="60" t="s">
        <v>18</v>
      </c>
      <c r="C34" s="48">
        <f>562.54-89.91</f>
        <v>472.63</v>
      </c>
      <c r="D34" s="48"/>
      <c r="E34" s="48">
        <v>0</v>
      </c>
      <c r="F34" s="48">
        <v>701.03</v>
      </c>
      <c r="G34" s="47">
        <v>59.78</v>
      </c>
      <c r="H34" s="48"/>
      <c r="I34" s="48"/>
      <c r="J34" s="49"/>
      <c r="K34" s="48">
        <f t="shared" si="12"/>
        <v>28.357799999999997</v>
      </c>
      <c r="L34" s="48">
        <v>0</v>
      </c>
      <c r="M34" s="48">
        <f t="shared" si="13"/>
        <v>1233.4399999999998</v>
      </c>
      <c r="N34" s="41">
        <f t="shared" si="14"/>
        <v>296.02559999999994</v>
      </c>
      <c r="O34" s="41">
        <f t="shared" si="15"/>
        <v>97.647337444799973</v>
      </c>
      <c r="P34" s="41">
        <f t="shared" si="16"/>
        <v>82.229337444799981</v>
      </c>
      <c r="Q34" s="41">
        <f t="shared" si="17"/>
        <v>97.647337444799973</v>
      </c>
      <c r="R34" s="41">
        <f t="shared" si="18"/>
        <v>0</v>
      </c>
      <c r="S34" s="41">
        <f t="shared" si="19"/>
        <v>64.755599999999987</v>
      </c>
      <c r="T34" s="41">
        <f t="shared" si="20"/>
        <v>49.337599999999995</v>
      </c>
      <c r="U34" s="41">
        <f t="shared" si="21"/>
        <v>24.668799999999997</v>
      </c>
      <c r="V34" s="41">
        <f t="shared" si="22"/>
        <v>24.668799999999997</v>
      </c>
      <c r="W34" s="41">
        <f t="shared" si="23"/>
        <v>49.337599999999995</v>
      </c>
      <c r="X34" s="41">
        <f t="shared" si="24"/>
        <v>0</v>
      </c>
      <c r="Y34" s="41">
        <f t="shared" si="24"/>
        <v>0</v>
      </c>
      <c r="Z34" s="41">
        <f t="shared" si="25"/>
        <v>15.417999999999999</v>
      </c>
      <c r="AA34" s="41">
        <f t="shared" si="26"/>
        <v>0</v>
      </c>
      <c r="AB34" s="41">
        <f t="shared" si="27"/>
        <v>61.671999999999997</v>
      </c>
      <c r="AC34" s="41">
        <f t="shared" si="28"/>
        <v>61.671999999999997</v>
      </c>
      <c r="AD34" s="41">
        <f t="shared" si="29"/>
        <v>61.671999999999997</v>
      </c>
      <c r="AE34" s="41">
        <f t="shared" si="30"/>
        <v>246.68799999999999</v>
      </c>
      <c r="AF34" s="41">
        <f t="shared" si="31"/>
        <v>0</v>
      </c>
      <c r="AG34" s="41">
        <f t="shared" si="32"/>
        <v>0</v>
      </c>
      <c r="AH34" s="41">
        <f t="shared" si="33"/>
        <v>0</v>
      </c>
      <c r="AI34" s="1"/>
      <c r="AJ34" s="1"/>
      <c r="AK34" s="1"/>
    </row>
    <row r="35" spans="2:37" customFormat="1" ht="15" customHeight="1" x14ac:dyDescent="0.35">
      <c r="B35" s="60" t="s">
        <v>347</v>
      </c>
      <c r="C35" s="48">
        <v>594.74</v>
      </c>
      <c r="D35" s="48">
        <v>0</v>
      </c>
      <c r="E35" s="48">
        <v>0</v>
      </c>
      <c r="F35" s="48">
        <v>1189.92</v>
      </c>
      <c r="G35" s="47">
        <v>12.77</v>
      </c>
      <c r="H35" s="48">
        <v>0</v>
      </c>
      <c r="I35" s="48">
        <v>0</v>
      </c>
      <c r="J35" s="49">
        <v>0</v>
      </c>
      <c r="K35" s="48">
        <f t="shared" si="12"/>
        <v>35.684399999999997</v>
      </c>
      <c r="L35" s="48">
        <v>0</v>
      </c>
      <c r="M35" s="48">
        <f t="shared" si="13"/>
        <v>1797.43</v>
      </c>
      <c r="N35" s="41">
        <f t="shared" si="14"/>
        <v>431.38319999999999</v>
      </c>
      <c r="O35" s="41">
        <f t="shared" si="15"/>
        <v>142.2965476581</v>
      </c>
      <c r="P35" s="41">
        <f t="shared" si="16"/>
        <v>119.8286726581</v>
      </c>
      <c r="Q35" s="41">
        <f t="shared" si="17"/>
        <v>142.2965476581</v>
      </c>
      <c r="R35" s="41">
        <f t="shared" si="18"/>
        <v>0</v>
      </c>
      <c r="S35" s="41">
        <f t="shared" si="19"/>
        <v>94.365075000000004</v>
      </c>
      <c r="T35" s="41">
        <f t="shared" si="20"/>
        <v>71.897199999999998</v>
      </c>
      <c r="U35" s="41">
        <f t="shared" si="21"/>
        <v>35.948599999999999</v>
      </c>
      <c r="V35" s="41">
        <f t="shared" si="22"/>
        <v>35.948599999999999</v>
      </c>
      <c r="W35" s="41">
        <f t="shared" si="23"/>
        <v>71.897199999999998</v>
      </c>
      <c r="X35" s="41">
        <f t="shared" si="24"/>
        <v>0</v>
      </c>
      <c r="Y35" s="41">
        <f t="shared" si="24"/>
        <v>0</v>
      </c>
      <c r="Z35" s="41">
        <f t="shared" si="25"/>
        <v>22.467875000000003</v>
      </c>
      <c r="AA35" s="41">
        <f t="shared" si="26"/>
        <v>0</v>
      </c>
      <c r="AB35" s="41">
        <f t="shared" si="27"/>
        <v>89.871500000000012</v>
      </c>
      <c r="AC35" s="41">
        <f t="shared" si="28"/>
        <v>89.871500000000012</v>
      </c>
      <c r="AD35" s="41">
        <f t="shared" si="29"/>
        <v>89.871500000000012</v>
      </c>
      <c r="AE35" s="41">
        <f t="shared" si="30"/>
        <v>359.48600000000005</v>
      </c>
      <c r="AF35" s="41">
        <f t="shared" si="31"/>
        <v>0</v>
      </c>
      <c r="AG35" s="41">
        <f t="shared" si="32"/>
        <v>0</v>
      </c>
      <c r="AH35" s="41">
        <f t="shared" si="33"/>
        <v>0</v>
      </c>
      <c r="AI35" s="1"/>
      <c r="AJ35" s="1"/>
      <c r="AK35" s="1"/>
    </row>
    <row r="36" spans="2:37" customFormat="1" ht="15" customHeight="1" x14ac:dyDescent="0.35">
      <c r="B36" s="60" t="s">
        <v>132</v>
      </c>
      <c r="C36" s="48">
        <f>2285.89</f>
        <v>2285.89</v>
      </c>
      <c r="D36" s="48">
        <v>0</v>
      </c>
      <c r="E36" s="48">
        <v>0</v>
      </c>
      <c r="F36" s="48">
        <v>2511.34</v>
      </c>
      <c r="G36" s="47">
        <v>147.84</v>
      </c>
      <c r="H36" s="48">
        <v>0</v>
      </c>
      <c r="I36" s="48">
        <v>0</v>
      </c>
      <c r="J36" s="49">
        <v>0</v>
      </c>
      <c r="K36" s="48">
        <f t="shared" si="12"/>
        <v>137.15339999999998</v>
      </c>
      <c r="L36" s="48">
        <v>0</v>
      </c>
      <c r="M36" s="48">
        <f t="shared" si="13"/>
        <v>4945.07</v>
      </c>
      <c r="N36" s="41">
        <f t="shared" si="14"/>
        <v>1186.8167999999998</v>
      </c>
      <c r="O36" s="41">
        <f t="shared" si="15"/>
        <v>391.48472481689993</v>
      </c>
      <c r="P36" s="41">
        <f t="shared" si="16"/>
        <v>329.67134981689998</v>
      </c>
      <c r="Q36" s="41">
        <f t="shared" si="17"/>
        <v>391.48472481689993</v>
      </c>
      <c r="R36" s="41">
        <f t="shared" si="18"/>
        <v>0</v>
      </c>
      <c r="S36" s="41">
        <f t="shared" si="19"/>
        <v>259.616175</v>
      </c>
      <c r="T36" s="41">
        <f t="shared" si="20"/>
        <v>197.80279999999999</v>
      </c>
      <c r="U36" s="41">
        <f t="shared" si="21"/>
        <v>98.901399999999995</v>
      </c>
      <c r="V36" s="41">
        <f t="shared" si="22"/>
        <v>98.901399999999995</v>
      </c>
      <c r="W36" s="41">
        <f t="shared" si="23"/>
        <v>197.80279999999999</v>
      </c>
      <c r="X36" s="41">
        <f t="shared" si="24"/>
        <v>0</v>
      </c>
      <c r="Y36" s="41">
        <f t="shared" si="24"/>
        <v>0</v>
      </c>
      <c r="Z36" s="41">
        <f t="shared" si="25"/>
        <v>61.813375000000001</v>
      </c>
      <c r="AA36" s="41">
        <f t="shared" si="26"/>
        <v>0</v>
      </c>
      <c r="AB36" s="41">
        <f t="shared" si="27"/>
        <v>247.2535</v>
      </c>
      <c r="AC36" s="41">
        <f t="shared" si="28"/>
        <v>247.2535</v>
      </c>
      <c r="AD36" s="41">
        <f t="shared" si="29"/>
        <v>247.2535</v>
      </c>
      <c r="AE36" s="41">
        <f t="shared" si="30"/>
        <v>989.01400000000001</v>
      </c>
      <c r="AF36" s="41">
        <f t="shared" si="31"/>
        <v>0</v>
      </c>
      <c r="AG36" s="41">
        <f t="shared" si="32"/>
        <v>0</v>
      </c>
      <c r="AH36" s="41">
        <f t="shared" si="33"/>
        <v>0</v>
      </c>
      <c r="AI36" s="1"/>
      <c r="AJ36" s="1"/>
      <c r="AK36" s="1"/>
    </row>
    <row r="37" spans="2:37" customFormat="1" ht="15" customHeight="1" x14ac:dyDescent="0.35">
      <c r="B37" s="60" t="s">
        <v>133</v>
      </c>
      <c r="C37" s="48">
        <f>2260.34</f>
        <v>2260.34</v>
      </c>
      <c r="D37" s="48">
        <v>0</v>
      </c>
      <c r="E37" s="48">
        <v>0</v>
      </c>
      <c r="F37" s="48">
        <v>1657.58</v>
      </c>
      <c r="G37" s="47">
        <v>87.48</v>
      </c>
      <c r="H37" s="48">
        <v>0</v>
      </c>
      <c r="I37" s="48">
        <v>0</v>
      </c>
      <c r="J37" s="49">
        <v>0</v>
      </c>
      <c r="K37" s="48">
        <f t="shared" si="12"/>
        <v>135.62040000000002</v>
      </c>
      <c r="L37" s="48">
        <v>0</v>
      </c>
      <c r="M37" s="48">
        <f t="shared" si="13"/>
        <v>4005.4</v>
      </c>
      <c r="N37" s="41">
        <f t="shared" si="14"/>
        <v>961.29599999999994</v>
      </c>
      <c r="O37" s="41">
        <f t="shared" si="15"/>
        <v>317.09418001799997</v>
      </c>
      <c r="P37" s="41">
        <f t="shared" si="16"/>
        <v>267.02668001799998</v>
      </c>
      <c r="Q37" s="41">
        <f t="shared" si="17"/>
        <v>317.09418001799997</v>
      </c>
      <c r="R37" s="41">
        <f t="shared" si="18"/>
        <v>0</v>
      </c>
      <c r="S37" s="41">
        <f t="shared" si="19"/>
        <v>210.2835</v>
      </c>
      <c r="T37" s="41">
        <f t="shared" si="20"/>
        <v>160.21600000000001</v>
      </c>
      <c r="U37" s="41">
        <f t="shared" si="21"/>
        <v>80.108000000000004</v>
      </c>
      <c r="V37" s="41">
        <f t="shared" si="22"/>
        <v>80.108000000000004</v>
      </c>
      <c r="W37" s="41">
        <f t="shared" si="23"/>
        <v>160.21600000000001</v>
      </c>
      <c r="X37" s="41">
        <f t="shared" si="24"/>
        <v>0</v>
      </c>
      <c r="Y37" s="41">
        <f t="shared" si="24"/>
        <v>0</v>
      </c>
      <c r="Z37" s="41">
        <f t="shared" si="25"/>
        <v>50.067500000000003</v>
      </c>
      <c r="AA37" s="41">
        <f t="shared" si="26"/>
        <v>0</v>
      </c>
      <c r="AB37" s="41">
        <f t="shared" si="27"/>
        <v>200.27</v>
      </c>
      <c r="AC37" s="41">
        <f t="shared" si="28"/>
        <v>200.27</v>
      </c>
      <c r="AD37" s="41">
        <f t="shared" si="29"/>
        <v>200.27</v>
      </c>
      <c r="AE37" s="41">
        <f t="shared" si="30"/>
        <v>801.08</v>
      </c>
      <c r="AF37" s="41">
        <f t="shared" si="31"/>
        <v>0</v>
      </c>
      <c r="AG37" s="41">
        <f t="shared" si="32"/>
        <v>0</v>
      </c>
      <c r="AH37" s="41">
        <f t="shared" si="33"/>
        <v>0</v>
      </c>
      <c r="AI37" s="1"/>
      <c r="AJ37" s="1"/>
      <c r="AK37" s="1"/>
    </row>
    <row r="38" spans="2:37" customFormat="1" ht="15" customHeight="1" x14ac:dyDescent="0.35">
      <c r="B38" s="60" t="s">
        <v>134</v>
      </c>
      <c r="C38" s="48">
        <f>2322.36</f>
        <v>2322.36</v>
      </c>
      <c r="D38" s="48">
        <v>0</v>
      </c>
      <c r="E38" s="48">
        <v>0</v>
      </c>
      <c r="F38" s="48">
        <v>1575.95</v>
      </c>
      <c r="G38" s="47">
        <v>83.54</v>
      </c>
      <c r="H38" s="48">
        <v>0</v>
      </c>
      <c r="I38" s="48">
        <v>0</v>
      </c>
      <c r="J38" s="49">
        <v>0</v>
      </c>
      <c r="K38" s="48">
        <f t="shared" si="12"/>
        <v>139.3416</v>
      </c>
      <c r="L38" s="48">
        <v>0</v>
      </c>
      <c r="M38" s="48">
        <f t="shared" si="13"/>
        <v>3981.8500000000004</v>
      </c>
      <c r="N38" s="41">
        <f t="shared" si="14"/>
        <v>955.64400000000001</v>
      </c>
      <c r="O38" s="41">
        <f t="shared" si="15"/>
        <v>315.22980493950001</v>
      </c>
      <c r="P38" s="41">
        <f t="shared" si="16"/>
        <v>265.45667993950002</v>
      </c>
      <c r="Q38" s="41">
        <f t="shared" si="17"/>
        <v>315.22980493950001</v>
      </c>
      <c r="R38" s="41">
        <f t="shared" si="18"/>
        <v>0</v>
      </c>
      <c r="S38" s="41">
        <f t="shared" si="19"/>
        <v>209.04712500000002</v>
      </c>
      <c r="T38" s="41">
        <f t="shared" si="20"/>
        <v>159.27400000000003</v>
      </c>
      <c r="U38" s="41">
        <f t="shared" si="21"/>
        <v>79.637000000000015</v>
      </c>
      <c r="V38" s="41">
        <f t="shared" si="22"/>
        <v>79.637000000000015</v>
      </c>
      <c r="W38" s="41">
        <f t="shared" si="23"/>
        <v>159.27400000000003</v>
      </c>
      <c r="X38" s="41">
        <f t="shared" si="24"/>
        <v>0</v>
      </c>
      <c r="Y38" s="41">
        <f t="shared" si="24"/>
        <v>0</v>
      </c>
      <c r="Z38" s="41">
        <f t="shared" si="25"/>
        <v>49.773125000000007</v>
      </c>
      <c r="AA38" s="41">
        <f t="shared" si="26"/>
        <v>0</v>
      </c>
      <c r="AB38" s="41">
        <f t="shared" si="27"/>
        <v>199.09250000000003</v>
      </c>
      <c r="AC38" s="41">
        <f t="shared" si="28"/>
        <v>199.09250000000003</v>
      </c>
      <c r="AD38" s="41">
        <f t="shared" si="29"/>
        <v>199.09250000000003</v>
      </c>
      <c r="AE38" s="41">
        <f t="shared" si="30"/>
        <v>796.37000000000012</v>
      </c>
      <c r="AF38" s="41">
        <f t="shared" si="31"/>
        <v>0</v>
      </c>
      <c r="AG38" s="41">
        <f t="shared" si="32"/>
        <v>0</v>
      </c>
      <c r="AH38" s="41">
        <f t="shared" si="33"/>
        <v>0</v>
      </c>
      <c r="AI38" s="1"/>
      <c r="AJ38" s="1"/>
      <c r="AK38" s="1"/>
    </row>
    <row r="39" spans="2:37" customFormat="1" ht="15" customHeight="1" x14ac:dyDescent="0.35">
      <c r="B39" s="60" t="s">
        <v>19</v>
      </c>
      <c r="C39" s="48">
        <v>2201.65</v>
      </c>
      <c r="D39" s="48">
        <v>0</v>
      </c>
      <c r="E39" s="48">
        <v>0</v>
      </c>
      <c r="F39" s="48">
        <v>2915.68</v>
      </c>
      <c r="G39" s="47">
        <v>147.84</v>
      </c>
      <c r="H39" s="48">
        <v>0</v>
      </c>
      <c r="I39" s="48">
        <v>0</v>
      </c>
      <c r="J39" s="49">
        <v>0</v>
      </c>
      <c r="K39" s="48">
        <f t="shared" si="12"/>
        <v>132.09899999999999</v>
      </c>
      <c r="L39" s="48">
        <v>0</v>
      </c>
      <c r="M39" s="48">
        <f t="shared" si="13"/>
        <v>5265.17</v>
      </c>
      <c r="N39" s="41">
        <f t="shared" si="14"/>
        <v>1263.6407999999999</v>
      </c>
      <c r="O39" s="41">
        <f t="shared" si="15"/>
        <v>416.82597588389996</v>
      </c>
      <c r="P39" s="41">
        <f t="shared" si="16"/>
        <v>351.01135088389998</v>
      </c>
      <c r="Q39" s="41">
        <f t="shared" si="17"/>
        <v>416.82597588389996</v>
      </c>
      <c r="R39" s="41">
        <f t="shared" si="18"/>
        <v>0</v>
      </c>
      <c r="S39" s="41">
        <f t="shared" si="19"/>
        <v>276.421425</v>
      </c>
      <c r="T39" s="41">
        <f t="shared" si="20"/>
        <v>210.60680000000002</v>
      </c>
      <c r="U39" s="41">
        <f t="shared" si="21"/>
        <v>105.30340000000001</v>
      </c>
      <c r="V39" s="41">
        <f t="shared" si="22"/>
        <v>105.30340000000001</v>
      </c>
      <c r="W39" s="41">
        <f t="shared" si="23"/>
        <v>210.60680000000002</v>
      </c>
      <c r="X39" s="41">
        <f t="shared" si="24"/>
        <v>0</v>
      </c>
      <c r="Y39" s="41">
        <f t="shared" si="24"/>
        <v>0</v>
      </c>
      <c r="Z39" s="41">
        <f t="shared" si="25"/>
        <v>65.814625000000007</v>
      </c>
      <c r="AA39" s="41">
        <f t="shared" si="26"/>
        <v>0</v>
      </c>
      <c r="AB39" s="41">
        <f t="shared" si="27"/>
        <v>263.25850000000003</v>
      </c>
      <c r="AC39" s="41">
        <f t="shared" si="28"/>
        <v>263.25850000000003</v>
      </c>
      <c r="AD39" s="41">
        <f t="shared" si="29"/>
        <v>263.25850000000003</v>
      </c>
      <c r="AE39" s="41">
        <f t="shared" si="30"/>
        <v>1053.0340000000001</v>
      </c>
      <c r="AF39" s="41">
        <f t="shared" si="31"/>
        <v>0</v>
      </c>
      <c r="AG39" s="41">
        <f t="shared" si="32"/>
        <v>0</v>
      </c>
      <c r="AH39" s="41">
        <f t="shared" si="33"/>
        <v>0</v>
      </c>
      <c r="AI39" s="1"/>
      <c r="AJ39" s="1"/>
      <c r="AK39" s="1"/>
    </row>
    <row r="40" spans="2:37" customFormat="1" ht="15" customHeight="1" x14ac:dyDescent="0.35">
      <c r="B40" s="60" t="s">
        <v>135</v>
      </c>
      <c r="C40" s="48">
        <v>1147.54</v>
      </c>
      <c r="D40" s="48">
        <v>0</v>
      </c>
      <c r="E40" s="48">
        <v>0</v>
      </c>
      <c r="F40" s="48">
        <v>1067.93</v>
      </c>
      <c r="G40" s="47">
        <v>63.27</v>
      </c>
      <c r="H40" s="48">
        <v>0</v>
      </c>
      <c r="I40" s="48">
        <v>0</v>
      </c>
      <c r="J40" s="49">
        <v>0</v>
      </c>
      <c r="K40" s="48">
        <f t="shared" si="12"/>
        <v>68.852399999999989</v>
      </c>
      <c r="L40" s="48">
        <v>0</v>
      </c>
      <c r="M40" s="48">
        <f t="shared" si="13"/>
        <v>2278.7400000000002</v>
      </c>
      <c r="N40" s="41">
        <f t="shared" si="14"/>
        <v>546.89760000000001</v>
      </c>
      <c r="O40" s="41">
        <f t="shared" si="15"/>
        <v>180.40025759580001</v>
      </c>
      <c r="P40" s="41">
        <f t="shared" si="16"/>
        <v>151.91600759580001</v>
      </c>
      <c r="Q40" s="41">
        <f t="shared" si="17"/>
        <v>180.40025759580001</v>
      </c>
      <c r="R40" s="41">
        <f t="shared" si="18"/>
        <v>0</v>
      </c>
      <c r="S40" s="41">
        <f t="shared" si="19"/>
        <v>119.63385000000001</v>
      </c>
      <c r="T40" s="41">
        <f t="shared" si="20"/>
        <v>91.149600000000007</v>
      </c>
      <c r="U40" s="41">
        <f t="shared" si="21"/>
        <v>45.574800000000003</v>
      </c>
      <c r="V40" s="41">
        <f t="shared" si="22"/>
        <v>45.574800000000003</v>
      </c>
      <c r="W40" s="41">
        <f t="shared" si="23"/>
        <v>91.149600000000007</v>
      </c>
      <c r="X40" s="41">
        <f t="shared" si="24"/>
        <v>0</v>
      </c>
      <c r="Y40" s="41">
        <f t="shared" si="24"/>
        <v>0</v>
      </c>
      <c r="Z40" s="41">
        <f t="shared" si="25"/>
        <v>28.484250000000003</v>
      </c>
      <c r="AA40" s="41">
        <f t="shared" si="26"/>
        <v>0</v>
      </c>
      <c r="AB40" s="41">
        <f t="shared" si="27"/>
        <v>113.93700000000001</v>
      </c>
      <c r="AC40" s="41">
        <f t="shared" si="28"/>
        <v>113.93700000000001</v>
      </c>
      <c r="AD40" s="41">
        <f t="shared" si="29"/>
        <v>113.93700000000001</v>
      </c>
      <c r="AE40" s="41">
        <f t="shared" si="30"/>
        <v>455.74800000000005</v>
      </c>
      <c r="AF40" s="41">
        <f t="shared" si="31"/>
        <v>0</v>
      </c>
      <c r="AG40" s="41">
        <f t="shared" si="32"/>
        <v>0</v>
      </c>
      <c r="AH40" s="41">
        <f t="shared" si="33"/>
        <v>0</v>
      </c>
      <c r="AI40" s="1"/>
      <c r="AJ40" s="1"/>
      <c r="AK40" s="1"/>
    </row>
    <row r="41" spans="2:37" customFormat="1" ht="15" customHeight="1" x14ac:dyDescent="0.35">
      <c r="B41" s="60" t="s">
        <v>20</v>
      </c>
      <c r="C41" s="48">
        <f>1825.86-156.69</f>
        <v>1669.1699999999998</v>
      </c>
      <c r="D41" s="48">
        <v>0</v>
      </c>
      <c r="E41" s="48">
        <v>0</v>
      </c>
      <c r="F41" s="48">
        <v>1162.03</v>
      </c>
      <c r="G41" s="47">
        <v>68.8</v>
      </c>
      <c r="H41" s="48">
        <v>0</v>
      </c>
      <c r="I41" s="48">
        <v>0</v>
      </c>
      <c r="J41" s="49">
        <v>0</v>
      </c>
      <c r="K41" s="48">
        <f t="shared" si="12"/>
        <v>100.15019999999998</v>
      </c>
      <c r="L41" s="48">
        <v>0</v>
      </c>
      <c r="M41" s="48">
        <f t="shared" si="13"/>
        <v>2900</v>
      </c>
      <c r="N41" s="41">
        <f t="shared" si="14"/>
        <v>696</v>
      </c>
      <c r="O41" s="41">
        <f t="shared" si="15"/>
        <v>229.58334299999999</v>
      </c>
      <c r="P41" s="41">
        <f t="shared" si="16"/>
        <v>193.33334299999999</v>
      </c>
      <c r="Q41" s="41">
        <f t="shared" si="17"/>
        <v>229.58334299999999</v>
      </c>
      <c r="R41" s="41">
        <f t="shared" si="18"/>
        <v>0</v>
      </c>
      <c r="S41" s="41">
        <f t="shared" si="19"/>
        <v>152.25</v>
      </c>
      <c r="T41" s="41">
        <f t="shared" si="20"/>
        <v>116</v>
      </c>
      <c r="U41" s="41">
        <f t="shared" si="21"/>
        <v>58</v>
      </c>
      <c r="V41" s="41">
        <f t="shared" si="22"/>
        <v>58</v>
      </c>
      <c r="W41" s="41">
        <f t="shared" si="23"/>
        <v>116</v>
      </c>
      <c r="X41" s="41">
        <f t="shared" si="24"/>
        <v>0</v>
      </c>
      <c r="Y41" s="41">
        <f t="shared" si="24"/>
        <v>0</v>
      </c>
      <c r="Z41" s="41">
        <f t="shared" si="25"/>
        <v>36.25</v>
      </c>
      <c r="AA41" s="41">
        <f t="shared" si="26"/>
        <v>0</v>
      </c>
      <c r="AB41" s="41">
        <f t="shared" si="27"/>
        <v>145</v>
      </c>
      <c r="AC41" s="41">
        <f t="shared" si="28"/>
        <v>145</v>
      </c>
      <c r="AD41" s="41">
        <f t="shared" si="29"/>
        <v>145</v>
      </c>
      <c r="AE41" s="41">
        <f t="shared" si="30"/>
        <v>580</v>
      </c>
      <c r="AF41" s="41">
        <f t="shared" si="31"/>
        <v>0</v>
      </c>
      <c r="AG41" s="41">
        <f t="shared" si="32"/>
        <v>0</v>
      </c>
      <c r="AH41" s="41">
        <f t="shared" si="33"/>
        <v>0</v>
      </c>
      <c r="AI41" s="1"/>
      <c r="AJ41" s="1"/>
      <c r="AK41" s="1"/>
    </row>
    <row r="42" spans="2:37" customFormat="1" ht="15" customHeight="1" x14ac:dyDescent="0.35">
      <c r="B42" s="60" t="s">
        <v>136</v>
      </c>
      <c r="C42" s="48">
        <v>876.97</v>
      </c>
      <c r="D42" s="48">
        <v>0</v>
      </c>
      <c r="E42" s="48">
        <v>0</v>
      </c>
      <c r="F42" s="48">
        <v>565.64</v>
      </c>
      <c r="G42" s="47">
        <v>97.34</v>
      </c>
      <c r="H42" s="48">
        <v>0</v>
      </c>
      <c r="I42" s="48">
        <v>0</v>
      </c>
      <c r="J42" s="49">
        <v>0</v>
      </c>
      <c r="K42" s="48">
        <f t="shared" si="12"/>
        <v>52.618200000000002</v>
      </c>
      <c r="L42" s="48">
        <v>0</v>
      </c>
      <c r="M42" s="48">
        <f t="shared" si="13"/>
        <v>1539.95</v>
      </c>
      <c r="N42" s="41">
        <f t="shared" si="14"/>
        <v>369.58800000000002</v>
      </c>
      <c r="O42" s="41">
        <f t="shared" si="15"/>
        <v>121.91271346649999</v>
      </c>
      <c r="P42" s="41">
        <f t="shared" si="16"/>
        <v>102.66333846649999</v>
      </c>
      <c r="Q42" s="41">
        <f t="shared" si="17"/>
        <v>121.91271346649999</v>
      </c>
      <c r="R42" s="41">
        <f t="shared" si="18"/>
        <v>0</v>
      </c>
      <c r="S42" s="41">
        <f t="shared" si="19"/>
        <v>80.847375</v>
      </c>
      <c r="T42" s="41">
        <f t="shared" si="20"/>
        <v>61.598000000000006</v>
      </c>
      <c r="U42" s="41">
        <f t="shared" si="21"/>
        <v>30.799000000000003</v>
      </c>
      <c r="V42" s="41">
        <f t="shared" si="22"/>
        <v>30.799000000000003</v>
      </c>
      <c r="W42" s="41">
        <f t="shared" si="23"/>
        <v>61.598000000000006</v>
      </c>
      <c r="X42" s="41">
        <f t="shared" si="24"/>
        <v>0</v>
      </c>
      <c r="Y42" s="41">
        <f t="shared" si="24"/>
        <v>0</v>
      </c>
      <c r="Z42" s="41">
        <f t="shared" si="25"/>
        <v>19.249375000000001</v>
      </c>
      <c r="AA42" s="41">
        <f t="shared" si="26"/>
        <v>0</v>
      </c>
      <c r="AB42" s="41">
        <f t="shared" si="27"/>
        <v>76.997500000000002</v>
      </c>
      <c r="AC42" s="41">
        <f t="shared" si="28"/>
        <v>76.997500000000002</v>
      </c>
      <c r="AD42" s="41">
        <f t="shared" si="29"/>
        <v>76.997500000000002</v>
      </c>
      <c r="AE42" s="41">
        <f t="shared" si="30"/>
        <v>307.99</v>
      </c>
      <c r="AF42" s="41">
        <f t="shared" si="31"/>
        <v>0</v>
      </c>
      <c r="AG42" s="41">
        <f t="shared" si="32"/>
        <v>0</v>
      </c>
      <c r="AH42" s="41">
        <f t="shared" si="33"/>
        <v>0</v>
      </c>
      <c r="AI42" s="1"/>
      <c r="AJ42" s="1"/>
      <c r="AK42" s="1"/>
    </row>
    <row r="43" spans="2:37" customFormat="1" ht="15" customHeight="1" x14ac:dyDescent="0.35">
      <c r="B43" s="60" t="s">
        <v>114</v>
      </c>
      <c r="C43" s="48">
        <f>1848.21</f>
        <v>1848.21</v>
      </c>
      <c r="D43" s="48">
        <v>0</v>
      </c>
      <c r="E43" s="48">
        <v>0</v>
      </c>
      <c r="F43" s="48">
        <v>681.87</v>
      </c>
      <c r="G43" s="47">
        <v>52.56</v>
      </c>
      <c r="H43" s="48">
        <v>0</v>
      </c>
      <c r="I43" s="48">
        <v>0</v>
      </c>
      <c r="J43" s="49">
        <v>0</v>
      </c>
      <c r="K43" s="48">
        <f t="shared" si="12"/>
        <v>110.8926</v>
      </c>
      <c r="L43" s="48">
        <v>0</v>
      </c>
      <c r="M43" s="48">
        <f t="shared" si="13"/>
        <v>2582.64</v>
      </c>
      <c r="N43" s="41">
        <f t="shared" si="14"/>
        <v>619.83359999999993</v>
      </c>
      <c r="O43" s="41">
        <f t="shared" si="15"/>
        <v>204.45900860879996</v>
      </c>
      <c r="P43" s="41">
        <f t="shared" si="16"/>
        <v>172.17600860879998</v>
      </c>
      <c r="Q43" s="41">
        <f t="shared" si="17"/>
        <v>204.45900860879996</v>
      </c>
      <c r="R43" s="41">
        <f t="shared" si="18"/>
        <v>0</v>
      </c>
      <c r="S43" s="41">
        <f t="shared" si="19"/>
        <v>135.58859999999999</v>
      </c>
      <c r="T43" s="41">
        <f t="shared" si="20"/>
        <v>103.3056</v>
      </c>
      <c r="U43" s="41">
        <f t="shared" si="21"/>
        <v>51.652799999999999</v>
      </c>
      <c r="V43" s="41">
        <f t="shared" si="22"/>
        <v>51.652799999999999</v>
      </c>
      <c r="W43" s="41">
        <f t="shared" si="23"/>
        <v>103.3056</v>
      </c>
      <c r="X43" s="41">
        <f t="shared" si="24"/>
        <v>0</v>
      </c>
      <c r="Y43" s="41">
        <f t="shared" si="24"/>
        <v>0</v>
      </c>
      <c r="Z43" s="41">
        <f t="shared" si="25"/>
        <v>32.283000000000001</v>
      </c>
      <c r="AA43" s="41">
        <f t="shared" si="26"/>
        <v>0</v>
      </c>
      <c r="AB43" s="41">
        <f t="shared" si="27"/>
        <v>129.13200000000001</v>
      </c>
      <c r="AC43" s="41">
        <f t="shared" si="28"/>
        <v>129.13200000000001</v>
      </c>
      <c r="AD43" s="41">
        <f t="shared" si="29"/>
        <v>129.13200000000001</v>
      </c>
      <c r="AE43" s="41">
        <f t="shared" si="30"/>
        <v>516.52800000000002</v>
      </c>
      <c r="AF43" s="41">
        <f t="shared" si="31"/>
        <v>0</v>
      </c>
      <c r="AG43" s="41">
        <f t="shared" si="32"/>
        <v>0</v>
      </c>
      <c r="AH43" s="41">
        <f t="shared" si="33"/>
        <v>0</v>
      </c>
      <c r="AI43" s="1"/>
      <c r="AJ43" s="1"/>
      <c r="AK43" s="1"/>
    </row>
    <row r="44" spans="2:37" customFormat="1" ht="15" customHeight="1" x14ac:dyDescent="0.35">
      <c r="B44" s="60" t="s">
        <v>21</v>
      </c>
      <c r="C44" s="48">
        <v>1137.96</v>
      </c>
      <c r="D44" s="48">
        <f>127.3+54.39+109.17</f>
        <v>290.86</v>
      </c>
      <c r="E44" s="48">
        <v>0</v>
      </c>
      <c r="F44" s="48">
        <v>675.04</v>
      </c>
      <c r="G44" s="47">
        <v>0</v>
      </c>
      <c r="H44" s="48">
        <v>0</v>
      </c>
      <c r="I44" s="48">
        <v>0</v>
      </c>
      <c r="J44" s="49">
        <v>0</v>
      </c>
      <c r="K44" s="48">
        <f t="shared" si="12"/>
        <v>85.729200000000006</v>
      </c>
      <c r="L44" s="48">
        <v>0</v>
      </c>
      <c r="M44" s="48">
        <f t="shared" si="13"/>
        <v>2103.86</v>
      </c>
      <c r="N44" s="41">
        <f t="shared" si="14"/>
        <v>504.9264</v>
      </c>
      <c r="O44" s="41">
        <f t="shared" si="15"/>
        <v>166.55559034620001</v>
      </c>
      <c r="P44" s="41">
        <f t="shared" si="16"/>
        <v>140.25734034620001</v>
      </c>
      <c r="Q44" s="41">
        <f t="shared" si="17"/>
        <v>166.55559034620001</v>
      </c>
      <c r="R44" s="41">
        <f t="shared" si="18"/>
        <v>0</v>
      </c>
      <c r="S44" s="41">
        <f t="shared" si="19"/>
        <v>110.45265000000001</v>
      </c>
      <c r="T44" s="41">
        <f t="shared" si="20"/>
        <v>84.15440000000001</v>
      </c>
      <c r="U44" s="41">
        <f t="shared" si="21"/>
        <v>42.077200000000005</v>
      </c>
      <c r="V44" s="41">
        <f t="shared" si="22"/>
        <v>42.077200000000005</v>
      </c>
      <c r="W44" s="41">
        <f t="shared" si="23"/>
        <v>84.15440000000001</v>
      </c>
      <c r="X44" s="41">
        <f t="shared" si="24"/>
        <v>0</v>
      </c>
      <c r="Y44" s="41">
        <f t="shared" si="24"/>
        <v>0</v>
      </c>
      <c r="Z44" s="41">
        <f t="shared" si="25"/>
        <v>26.298250000000003</v>
      </c>
      <c r="AA44" s="41">
        <f t="shared" si="26"/>
        <v>0</v>
      </c>
      <c r="AB44" s="41">
        <f t="shared" si="27"/>
        <v>105.19300000000001</v>
      </c>
      <c r="AC44" s="41">
        <f t="shared" si="28"/>
        <v>105.19300000000001</v>
      </c>
      <c r="AD44" s="41">
        <f t="shared" si="29"/>
        <v>105.19300000000001</v>
      </c>
      <c r="AE44" s="41">
        <f t="shared" si="30"/>
        <v>420.77200000000005</v>
      </c>
      <c r="AF44" s="41">
        <f t="shared" si="31"/>
        <v>0</v>
      </c>
      <c r="AG44" s="41">
        <f t="shared" si="32"/>
        <v>0</v>
      </c>
      <c r="AH44" s="41">
        <f t="shared" si="33"/>
        <v>0</v>
      </c>
      <c r="AI44" s="1"/>
      <c r="AJ44" s="1"/>
      <c r="AK44" s="1"/>
    </row>
    <row r="45" spans="2:37" customFormat="1" ht="15" customHeight="1" x14ac:dyDescent="0.35">
      <c r="B45" s="60" t="s">
        <v>359</v>
      </c>
      <c r="C45" s="48">
        <f>1269.15-800</f>
        <v>469.15000000000009</v>
      </c>
      <c r="D45" s="48">
        <v>0</v>
      </c>
      <c r="E45" s="48">
        <v>0</v>
      </c>
      <c r="F45" s="48">
        <v>508.95</v>
      </c>
      <c r="G45" s="47">
        <v>21.9</v>
      </c>
      <c r="H45" s="48">
        <v>0</v>
      </c>
      <c r="I45" s="48">
        <v>0</v>
      </c>
      <c r="J45" s="49">
        <v>0</v>
      </c>
      <c r="K45" s="48">
        <f t="shared" si="12"/>
        <v>28.149000000000004</v>
      </c>
      <c r="L45" s="48">
        <v>0</v>
      </c>
      <c r="M45" s="48">
        <f t="shared" si="13"/>
        <v>1000.0000000000001</v>
      </c>
      <c r="N45" s="41">
        <f t="shared" si="14"/>
        <v>240.00000000000003</v>
      </c>
      <c r="O45" s="41">
        <f t="shared" si="15"/>
        <v>79.166670000000011</v>
      </c>
      <c r="P45" s="41">
        <f t="shared" si="16"/>
        <v>66.666670000000011</v>
      </c>
      <c r="Q45" s="41">
        <f t="shared" si="17"/>
        <v>79.166670000000011</v>
      </c>
      <c r="R45" s="41">
        <f t="shared" si="18"/>
        <v>0</v>
      </c>
      <c r="S45" s="41">
        <f t="shared" si="19"/>
        <v>52.500000000000007</v>
      </c>
      <c r="T45" s="41">
        <f t="shared" si="20"/>
        <v>40.000000000000007</v>
      </c>
      <c r="U45" s="41">
        <f t="shared" si="21"/>
        <v>20.000000000000004</v>
      </c>
      <c r="V45" s="41">
        <f t="shared" si="22"/>
        <v>20.000000000000004</v>
      </c>
      <c r="W45" s="41">
        <f t="shared" si="23"/>
        <v>40.000000000000007</v>
      </c>
      <c r="X45" s="41">
        <f t="shared" si="24"/>
        <v>0</v>
      </c>
      <c r="Y45" s="41">
        <f t="shared" si="24"/>
        <v>0</v>
      </c>
      <c r="Z45" s="41">
        <f t="shared" si="25"/>
        <v>12.500000000000002</v>
      </c>
      <c r="AA45" s="41">
        <f t="shared" si="26"/>
        <v>0</v>
      </c>
      <c r="AB45" s="41">
        <f t="shared" si="27"/>
        <v>50.000000000000007</v>
      </c>
      <c r="AC45" s="41">
        <f t="shared" si="28"/>
        <v>50.000000000000007</v>
      </c>
      <c r="AD45" s="41">
        <f t="shared" si="29"/>
        <v>50.000000000000007</v>
      </c>
      <c r="AE45" s="41">
        <f t="shared" si="30"/>
        <v>200.00000000000003</v>
      </c>
      <c r="AF45" s="41">
        <f t="shared" si="31"/>
        <v>0</v>
      </c>
      <c r="AG45" s="41">
        <f t="shared" si="32"/>
        <v>0</v>
      </c>
      <c r="AH45" s="41">
        <f t="shared" si="33"/>
        <v>0</v>
      </c>
      <c r="AI45" s="1"/>
      <c r="AJ45" s="1"/>
      <c r="AK45" s="1"/>
    </row>
    <row r="46" spans="2:37" customFormat="1" ht="15" customHeight="1" x14ac:dyDescent="0.35">
      <c r="B46" s="60" t="s">
        <v>137</v>
      </c>
      <c r="C46" s="48">
        <v>159.56</v>
      </c>
      <c r="D46" s="48">
        <v>0</v>
      </c>
      <c r="E46" s="48">
        <v>0</v>
      </c>
      <c r="F46" s="48">
        <v>0</v>
      </c>
      <c r="G46" s="47">
        <v>0</v>
      </c>
      <c r="H46" s="48">
        <v>0</v>
      </c>
      <c r="I46" s="48">
        <v>0</v>
      </c>
      <c r="J46" s="49">
        <v>0</v>
      </c>
      <c r="K46" s="48">
        <f t="shared" si="12"/>
        <v>9.573599999999999</v>
      </c>
      <c r="L46" s="48">
        <v>0</v>
      </c>
      <c r="M46" s="48">
        <f t="shared" si="13"/>
        <v>159.56</v>
      </c>
      <c r="N46" s="41">
        <f t="shared" si="14"/>
        <v>38.294399999999996</v>
      </c>
      <c r="O46" s="41">
        <f t="shared" si="15"/>
        <v>12.631833865199999</v>
      </c>
      <c r="P46" s="41">
        <f t="shared" si="16"/>
        <v>10.6373338652</v>
      </c>
      <c r="Q46" s="41">
        <f t="shared" si="17"/>
        <v>12.631833865199999</v>
      </c>
      <c r="R46" s="41">
        <f t="shared" si="18"/>
        <v>0</v>
      </c>
      <c r="S46" s="41">
        <f t="shared" si="19"/>
        <v>8.3768999999999991</v>
      </c>
      <c r="T46" s="41">
        <f t="shared" si="20"/>
        <v>6.3824000000000005</v>
      </c>
      <c r="U46" s="41">
        <f t="shared" si="21"/>
        <v>3.1912000000000003</v>
      </c>
      <c r="V46" s="41">
        <f t="shared" si="22"/>
        <v>3.1912000000000003</v>
      </c>
      <c r="W46" s="41">
        <f t="shared" si="23"/>
        <v>6.3824000000000005</v>
      </c>
      <c r="X46" s="41">
        <f t="shared" si="24"/>
        <v>0</v>
      </c>
      <c r="Y46" s="41">
        <f t="shared" si="24"/>
        <v>0</v>
      </c>
      <c r="Z46" s="41">
        <f t="shared" si="25"/>
        <v>1.9945000000000002</v>
      </c>
      <c r="AA46" s="41">
        <f t="shared" si="26"/>
        <v>0</v>
      </c>
      <c r="AB46" s="41">
        <f t="shared" si="27"/>
        <v>7.9780000000000006</v>
      </c>
      <c r="AC46" s="41">
        <f t="shared" si="28"/>
        <v>7.9780000000000006</v>
      </c>
      <c r="AD46" s="41">
        <f t="shared" si="29"/>
        <v>7.9780000000000006</v>
      </c>
      <c r="AE46" s="41">
        <f t="shared" si="30"/>
        <v>31.912000000000003</v>
      </c>
      <c r="AF46" s="41">
        <f t="shared" si="31"/>
        <v>0</v>
      </c>
      <c r="AG46" s="41">
        <f t="shared" si="32"/>
        <v>0</v>
      </c>
      <c r="AH46" s="41">
        <f t="shared" si="33"/>
        <v>0</v>
      </c>
      <c r="AI46" s="1"/>
      <c r="AJ46" s="1"/>
      <c r="AK46" s="1"/>
    </row>
    <row r="47" spans="2:37" customFormat="1" ht="15" customHeight="1" x14ac:dyDescent="0.35">
      <c r="B47" s="60" t="s">
        <v>116</v>
      </c>
      <c r="C47" s="48">
        <v>324.7</v>
      </c>
      <c r="D47" s="48">
        <v>0</v>
      </c>
      <c r="E47" s="48">
        <v>0</v>
      </c>
      <c r="F47" s="48">
        <v>0</v>
      </c>
      <c r="G47" s="47">
        <v>0</v>
      </c>
      <c r="H47" s="48">
        <v>0</v>
      </c>
      <c r="I47" s="48">
        <v>0</v>
      </c>
      <c r="J47" s="49">
        <v>0</v>
      </c>
      <c r="K47" s="48">
        <f t="shared" si="12"/>
        <v>19.481999999999999</v>
      </c>
      <c r="L47" s="48">
        <v>0</v>
      </c>
      <c r="M47" s="48">
        <f t="shared" si="13"/>
        <v>324.7</v>
      </c>
      <c r="N47" s="41">
        <f t="shared" si="14"/>
        <v>77.927999999999997</v>
      </c>
      <c r="O47" s="41">
        <f t="shared" si="15"/>
        <v>25.705417748999999</v>
      </c>
      <c r="P47" s="41">
        <f t="shared" si="16"/>
        <v>21.646667748999999</v>
      </c>
      <c r="Q47" s="41">
        <f t="shared" si="17"/>
        <v>25.705417748999999</v>
      </c>
      <c r="R47" s="41">
        <f t="shared" si="18"/>
        <v>0</v>
      </c>
      <c r="S47" s="41">
        <f t="shared" si="19"/>
        <v>17.046749999999999</v>
      </c>
      <c r="T47" s="41">
        <f t="shared" si="20"/>
        <v>12.988</v>
      </c>
      <c r="U47" s="41">
        <f t="shared" si="21"/>
        <v>6.4939999999999998</v>
      </c>
      <c r="V47" s="41">
        <f t="shared" si="22"/>
        <v>6.4939999999999998</v>
      </c>
      <c r="W47" s="41">
        <f t="shared" si="23"/>
        <v>12.988</v>
      </c>
      <c r="X47" s="41">
        <f t="shared" si="24"/>
        <v>0</v>
      </c>
      <c r="Y47" s="41">
        <f t="shared" si="24"/>
        <v>0</v>
      </c>
      <c r="Z47" s="41">
        <f t="shared" si="25"/>
        <v>4.0587499999999999</v>
      </c>
      <c r="AA47" s="41">
        <f t="shared" si="26"/>
        <v>0</v>
      </c>
      <c r="AB47" s="41">
        <f t="shared" si="27"/>
        <v>16.234999999999999</v>
      </c>
      <c r="AC47" s="41">
        <f t="shared" si="28"/>
        <v>16.234999999999999</v>
      </c>
      <c r="AD47" s="41">
        <f t="shared" si="29"/>
        <v>16.234999999999999</v>
      </c>
      <c r="AE47" s="41">
        <f t="shared" si="30"/>
        <v>64.94</v>
      </c>
      <c r="AF47" s="41">
        <f t="shared" si="31"/>
        <v>0</v>
      </c>
      <c r="AG47" s="41">
        <f t="shared" si="32"/>
        <v>0</v>
      </c>
      <c r="AH47" s="41">
        <f t="shared" si="33"/>
        <v>0</v>
      </c>
      <c r="AI47" s="1"/>
      <c r="AJ47" s="1"/>
      <c r="AK47" s="1"/>
    </row>
    <row r="48" spans="2:37" customFormat="1" ht="15" customHeight="1" x14ac:dyDescent="0.35">
      <c r="B48" s="60" t="s">
        <v>138</v>
      </c>
      <c r="C48" s="48">
        <v>416.56</v>
      </c>
      <c r="D48" s="48">
        <v>0</v>
      </c>
      <c r="E48" s="48">
        <v>0</v>
      </c>
      <c r="F48" s="48">
        <v>0</v>
      </c>
      <c r="G48" s="47">
        <v>0</v>
      </c>
      <c r="H48" s="48">
        <v>0</v>
      </c>
      <c r="I48" s="48">
        <v>0</v>
      </c>
      <c r="J48" s="49">
        <v>0</v>
      </c>
      <c r="K48" s="48">
        <f t="shared" si="12"/>
        <v>24.993600000000001</v>
      </c>
      <c r="L48" s="48">
        <v>0</v>
      </c>
      <c r="M48" s="48">
        <f t="shared" si="13"/>
        <v>416.56</v>
      </c>
      <c r="N48" s="41">
        <f t="shared" si="14"/>
        <v>99.974400000000003</v>
      </c>
      <c r="O48" s="41">
        <f t="shared" si="15"/>
        <v>32.977668055199999</v>
      </c>
      <c r="P48" s="41">
        <f t="shared" si="16"/>
        <v>27.770668055199998</v>
      </c>
      <c r="Q48" s="41">
        <f t="shared" si="17"/>
        <v>32.977668055199999</v>
      </c>
      <c r="R48" s="41">
        <f t="shared" si="18"/>
        <v>0</v>
      </c>
      <c r="S48" s="41">
        <f t="shared" si="19"/>
        <v>21.869399999999999</v>
      </c>
      <c r="T48" s="41">
        <f t="shared" si="20"/>
        <v>16.662400000000002</v>
      </c>
      <c r="U48" s="41">
        <f t="shared" si="21"/>
        <v>8.3312000000000008</v>
      </c>
      <c r="V48" s="41">
        <f t="shared" si="22"/>
        <v>8.3312000000000008</v>
      </c>
      <c r="W48" s="41">
        <f t="shared" si="23"/>
        <v>16.662400000000002</v>
      </c>
      <c r="X48" s="41">
        <f t="shared" si="24"/>
        <v>0</v>
      </c>
      <c r="Y48" s="41">
        <f t="shared" si="24"/>
        <v>0</v>
      </c>
      <c r="Z48" s="41">
        <f t="shared" si="25"/>
        <v>5.2070000000000007</v>
      </c>
      <c r="AA48" s="41">
        <f t="shared" si="26"/>
        <v>0</v>
      </c>
      <c r="AB48" s="41">
        <f t="shared" si="27"/>
        <v>20.828000000000003</v>
      </c>
      <c r="AC48" s="41">
        <f t="shared" si="28"/>
        <v>20.828000000000003</v>
      </c>
      <c r="AD48" s="41">
        <f t="shared" si="29"/>
        <v>20.828000000000003</v>
      </c>
      <c r="AE48" s="41">
        <f t="shared" si="30"/>
        <v>83.312000000000012</v>
      </c>
      <c r="AF48" s="41">
        <f t="shared" si="31"/>
        <v>0</v>
      </c>
      <c r="AG48" s="41">
        <f t="shared" si="32"/>
        <v>0</v>
      </c>
      <c r="AH48" s="41">
        <f t="shared" si="33"/>
        <v>0</v>
      </c>
      <c r="AI48" s="1"/>
      <c r="AJ48" s="1"/>
      <c r="AK48" s="1"/>
    </row>
    <row r="49" spans="2:37" customFormat="1" ht="15" customHeight="1" x14ac:dyDescent="0.35">
      <c r="B49" s="60" t="s">
        <v>139</v>
      </c>
      <c r="C49" s="48">
        <v>336.87</v>
      </c>
      <c r="D49" s="48">
        <v>0</v>
      </c>
      <c r="E49" s="48">
        <v>0</v>
      </c>
      <c r="F49" s="48">
        <v>0</v>
      </c>
      <c r="G49" s="47">
        <v>0</v>
      </c>
      <c r="H49" s="48">
        <v>0</v>
      </c>
      <c r="I49" s="48">
        <v>0</v>
      </c>
      <c r="J49" s="49">
        <v>0</v>
      </c>
      <c r="K49" s="48">
        <f t="shared" si="12"/>
        <v>20.212199999999999</v>
      </c>
      <c r="L49" s="48">
        <v>0</v>
      </c>
      <c r="M49" s="48">
        <f t="shared" si="13"/>
        <v>336.87</v>
      </c>
      <c r="N49" s="41">
        <f t="shared" si="14"/>
        <v>80.848799999999997</v>
      </c>
      <c r="O49" s="41">
        <f t="shared" si="15"/>
        <v>26.668876122899999</v>
      </c>
      <c r="P49" s="41">
        <f t="shared" si="16"/>
        <v>22.458001122900001</v>
      </c>
      <c r="Q49" s="41">
        <f t="shared" si="17"/>
        <v>26.668876122899999</v>
      </c>
      <c r="R49" s="41">
        <f t="shared" si="18"/>
        <v>0</v>
      </c>
      <c r="S49" s="41">
        <f t="shared" si="19"/>
        <v>17.685675</v>
      </c>
      <c r="T49" s="41">
        <f t="shared" si="20"/>
        <v>13.4748</v>
      </c>
      <c r="U49" s="41">
        <f t="shared" si="21"/>
        <v>6.7374000000000001</v>
      </c>
      <c r="V49" s="41">
        <f t="shared" si="22"/>
        <v>6.7374000000000001</v>
      </c>
      <c r="W49" s="41">
        <f t="shared" si="23"/>
        <v>13.4748</v>
      </c>
      <c r="X49" s="41">
        <f t="shared" si="24"/>
        <v>0</v>
      </c>
      <c r="Y49" s="41">
        <f t="shared" si="24"/>
        <v>0</v>
      </c>
      <c r="Z49" s="41">
        <f t="shared" si="25"/>
        <v>4.2108750000000006</v>
      </c>
      <c r="AA49" s="41">
        <f t="shared" si="26"/>
        <v>0</v>
      </c>
      <c r="AB49" s="41">
        <f t="shared" si="27"/>
        <v>16.843500000000002</v>
      </c>
      <c r="AC49" s="41">
        <f t="shared" si="28"/>
        <v>16.843500000000002</v>
      </c>
      <c r="AD49" s="41">
        <f t="shared" si="29"/>
        <v>16.843500000000002</v>
      </c>
      <c r="AE49" s="41">
        <f t="shared" si="30"/>
        <v>67.374000000000009</v>
      </c>
      <c r="AF49" s="41">
        <f t="shared" si="31"/>
        <v>0</v>
      </c>
      <c r="AG49" s="41">
        <f t="shared" si="32"/>
        <v>0</v>
      </c>
      <c r="AH49" s="41">
        <f t="shared" si="33"/>
        <v>0</v>
      </c>
      <c r="AI49" s="1"/>
      <c r="AJ49" s="1"/>
      <c r="AK49" s="1"/>
    </row>
    <row r="50" spans="2:37" customFormat="1" ht="15" customHeight="1" x14ac:dyDescent="0.35">
      <c r="B50" s="60" t="s">
        <v>140</v>
      </c>
      <c r="C50" s="48">
        <v>164.26</v>
      </c>
      <c r="D50" s="48">
        <v>0</v>
      </c>
      <c r="E50" s="48">
        <v>0</v>
      </c>
      <c r="F50" s="48">
        <v>0</v>
      </c>
      <c r="G50" s="47">
        <v>0</v>
      </c>
      <c r="H50" s="48">
        <v>0</v>
      </c>
      <c r="I50" s="48">
        <v>0</v>
      </c>
      <c r="J50" s="49">
        <v>0</v>
      </c>
      <c r="K50" s="48">
        <f t="shared" si="12"/>
        <v>9.855599999999999</v>
      </c>
      <c r="L50" s="48">
        <v>0</v>
      </c>
      <c r="M50" s="48">
        <f t="shared" si="13"/>
        <v>164.26</v>
      </c>
      <c r="N50" s="41">
        <f t="shared" si="14"/>
        <v>39.422399999999996</v>
      </c>
      <c r="O50" s="41">
        <f t="shared" si="15"/>
        <v>13.003917214199998</v>
      </c>
      <c r="P50" s="41">
        <f t="shared" si="16"/>
        <v>10.950667214199999</v>
      </c>
      <c r="Q50" s="41">
        <f t="shared" si="17"/>
        <v>13.003917214199998</v>
      </c>
      <c r="R50" s="41">
        <f t="shared" si="18"/>
        <v>0</v>
      </c>
      <c r="S50" s="41">
        <f t="shared" si="19"/>
        <v>8.6236499999999996</v>
      </c>
      <c r="T50" s="41">
        <f t="shared" si="20"/>
        <v>6.5703999999999994</v>
      </c>
      <c r="U50" s="41">
        <f t="shared" si="21"/>
        <v>3.2851999999999997</v>
      </c>
      <c r="V50" s="41">
        <f t="shared" si="22"/>
        <v>3.2851999999999997</v>
      </c>
      <c r="W50" s="41">
        <f t="shared" si="23"/>
        <v>6.5703999999999994</v>
      </c>
      <c r="X50" s="41">
        <f t="shared" si="24"/>
        <v>0</v>
      </c>
      <c r="Y50" s="41">
        <f t="shared" si="24"/>
        <v>0</v>
      </c>
      <c r="Z50" s="41">
        <f t="shared" si="25"/>
        <v>2.0532499999999998</v>
      </c>
      <c r="AA50" s="41">
        <f t="shared" si="26"/>
        <v>0</v>
      </c>
      <c r="AB50" s="41">
        <f t="shared" si="27"/>
        <v>8.2129999999999992</v>
      </c>
      <c r="AC50" s="41">
        <f t="shared" si="28"/>
        <v>8.2129999999999992</v>
      </c>
      <c r="AD50" s="41">
        <f t="shared" si="29"/>
        <v>8.2129999999999992</v>
      </c>
      <c r="AE50" s="41">
        <f t="shared" si="30"/>
        <v>32.851999999999997</v>
      </c>
      <c r="AF50" s="41">
        <f t="shared" si="31"/>
        <v>0</v>
      </c>
      <c r="AG50" s="41">
        <f t="shared" si="32"/>
        <v>0</v>
      </c>
      <c r="AH50" s="41">
        <f t="shared" si="33"/>
        <v>0</v>
      </c>
      <c r="AI50" s="1"/>
      <c r="AJ50" s="1"/>
      <c r="AK50" s="1"/>
    </row>
    <row r="51" spans="2:37" customFormat="1" ht="15" customHeight="1" x14ac:dyDescent="0.35">
      <c r="B51" s="60" t="s">
        <v>141</v>
      </c>
      <c r="C51" s="48">
        <v>230.18</v>
      </c>
      <c r="D51" s="48">
        <v>0</v>
      </c>
      <c r="E51" s="48">
        <v>0</v>
      </c>
      <c r="F51" s="48">
        <v>0</v>
      </c>
      <c r="G51" s="47">
        <v>0</v>
      </c>
      <c r="H51" s="48">
        <v>0</v>
      </c>
      <c r="I51" s="48">
        <v>0</v>
      </c>
      <c r="J51" s="49">
        <v>0</v>
      </c>
      <c r="K51" s="48">
        <f t="shared" si="12"/>
        <v>13.8108</v>
      </c>
      <c r="L51" s="48">
        <v>0</v>
      </c>
      <c r="M51" s="48">
        <f t="shared" si="13"/>
        <v>230.18</v>
      </c>
      <c r="N51" s="41">
        <f t="shared" si="14"/>
        <v>55.243200000000002</v>
      </c>
      <c r="O51" s="41">
        <f t="shared" si="15"/>
        <v>18.222584100599999</v>
      </c>
      <c r="P51" s="41">
        <f t="shared" si="16"/>
        <v>15.345334100600001</v>
      </c>
      <c r="Q51" s="41">
        <f t="shared" si="17"/>
        <v>18.222584100599999</v>
      </c>
      <c r="R51" s="41">
        <f t="shared" si="18"/>
        <v>0</v>
      </c>
      <c r="S51" s="41">
        <f t="shared" si="19"/>
        <v>12.08445</v>
      </c>
      <c r="T51" s="41">
        <f t="shared" si="20"/>
        <v>9.2072000000000003</v>
      </c>
      <c r="U51" s="41">
        <f t="shared" si="21"/>
        <v>4.6036000000000001</v>
      </c>
      <c r="V51" s="41">
        <f t="shared" si="22"/>
        <v>4.6036000000000001</v>
      </c>
      <c r="W51" s="41">
        <f t="shared" si="23"/>
        <v>9.2072000000000003</v>
      </c>
      <c r="X51" s="41">
        <f t="shared" si="24"/>
        <v>0</v>
      </c>
      <c r="Y51" s="41">
        <f t="shared" si="24"/>
        <v>0</v>
      </c>
      <c r="Z51" s="41">
        <f t="shared" si="25"/>
        <v>2.8772500000000001</v>
      </c>
      <c r="AA51" s="41">
        <f t="shared" si="26"/>
        <v>0</v>
      </c>
      <c r="AB51" s="41">
        <f t="shared" si="27"/>
        <v>11.509</v>
      </c>
      <c r="AC51" s="41">
        <f t="shared" si="28"/>
        <v>11.509</v>
      </c>
      <c r="AD51" s="41">
        <f t="shared" si="29"/>
        <v>11.509</v>
      </c>
      <c r="AE51" s="41">
        <f t="shared" si="30"/>
        <v>46.036000000000001</v>
      </c>
      <c r="AF51" s="41">
        <f t="shared" si="31"/>
        <v>0</v>
      </c>
      <c r="AG51" s="41">
        <f t="shared" si="32"/>
        <v>0</v>
      </c>
      <c r="AH51" s="41">
        <f t="shared" si="33"/>
        <v>0</v>
      </c>
      <c r="AI51" s="1"/>
      <c r="AJ51" s="1"/>
      <c r="AK51" s="1"/>
    </row>
    <row r="52" spans="2:37" customFormat="1" ht="15" customHeight="1" x14ac:dyDescent="0.35">
      <c r="B52" s="60" t="s">
        <v>142</v>
      </c>
      <c r="C52" s="48">
        <v>336.87</v>
      </c>
      <c r="D52" s="48">
        <v>0</v>
      </c>
      <c r="E52" s="48">
        <v>0</v>
      </c>
      <c r="F52" s="48">
        <v>0</v>
      </c>
      <c r="G52" s="47">
        <v>0</v>
      </c>
      <c r="H52" s="48">
        <v>0</v>
      </c>
      <c r="I52" s="48">
        <v>0</v>
      </c>
      <c r="J52" s="49">
        <v>0</v>
      </c>
      <c r="K52" s="48">
        <f t="shared" si="12"/>
        <v>20.212199999999999</v>
      </c>
      <c r="L52" s="48">
        <v>0</v>
      </c>
      <c r="M52" s="48">
        <f t="shared" si="13"/>
        <v>336.87</v>
      </c>
      <c r="N52" s="41">
        <f t="shared" si="14"/>
        <v>80.848799999999997</v>
      </c>
      <c r="O52" s="41">
        <f t="shared" si="15"/>
        <v>26.668876122899999</v>
      </c>
      <c r="P52" s="41">
        <f t="shared" si="16"/>
        <v>22.458001122900001</v>
      </c>
      <c r="Q52" s="41">
        <f t="shared" si="17"/>
        <v>26.668876122899999</v>
      </c>
      <c r="R52" s="41">
        <f t="shared" si="18"/>
        <v>0</v>
      </c>
      <c r="S52" s="41">
        <f t="shared" si="19"/>
        <v>17.685675</v>
      </c>
      <c r="T52" s="41">
        <f t="shared" si="20"/>
        <v>13.4748</v>
      </c>
      <c r="U52" s="41">
        <f t="shared" si="21"/>
        <v>6.7374000000000001</v>
      </c>
      <c r="V52" s="41">
        <f t="shared" si="22"/>
        <v>6.7374000000000001</v>
      </c>
      <c r="W52" s="41">
        <f t="shared" si="23"/>
        <v>13.4748</v>
      </c>
      <c r="X52" s="41">
        <f t="shared" si="24"/>
        <v>0</v>
      </c>
      <c r="Y52" s="41">
        <f t="shared" si="24"/>
        <v>0</v>
      </c>
      <c r="Z52" s="41">
        <f t="shared" si="25"/>
        <v>4.2108750000000006</v>
      </c>
      <c r="AA52" s="41">
        <f t="shared" si="26"/>
        <v>0</v>
      </c>
      <c r="AB52" s="41">
        <f t="shared" si="27"/>
        <v>16.843500000000002</v>
      </c>
      <c r="AC52" s="41">
        <f t="shared" si="28"/>
        <v>16.843500000000002</v>
      </c>
      <c r="AD52" s="41">
        <f t="shared" si="29"/>
        <v>16.843500000000002</v>
      </c>
      <c r="AE52" s="41">
        <f t="shared" si="30"/>
        <v>67.374000000000009</v>
      </c>
      <c r="AF52" s="41">
        <f t="shared" si="31"/>
        <v>0</v>
      </c>
      <c r="AG52" s="41">
        <f t="shared" si="32"/>
        <v>0</v>
      </c>
      <c r="AH52" s="41">
        <f t="shared" si="33"/>
        <v>0</v>
      </c>
      <c r="AI52" s="1"/>
      <c r="AJ52" s="1"/>
      <c r="AK52" s="1"/>
    </row>
    <row r="53" spans="2:37" customFormat="1" ht="15" customHeight="1" x14ac:dyDescent="0.35">
      <c r="B53" s="60" t="s">
        <v>143</v>
      </c>
      <c r="C53" s="48">
        <v>531.87</v>
      </c>
      <c r="D53" s="48">
        <v>0</v>
      </c>
      <c r="E53" s="48">
        <v>0</v>
      </c>
      <c r="F53" s="48">
        <v>0</v>
      </c>
      <c r="G53" s="47">
        <v>0</v>
      </c>
      <c r="H53" s="48">
        <v>0</v>
      </c>
      <c r="I53" s="48">
        <v>0</v>
      </c>
      <c r="J53" s="49">
        <v>0</v>
      </c>
      <c r="K53" s="48">
        <f t="shared" si="12"/>
        <v>31.912199999999999</v>
      </c>
      <c r="L53" s="48">
        <v>0</v>
      </c>
      <c r="M53" s="48">
        <f t="shared" si="13"/>
        <v>531.87</v>
      </c>
      <c r="N53" s="41">
        <f t="shared" si="14"/>
        <v>127.64879999999999</v>
      </c>
      <c r="O53" s="41">
        <f t="shared" si="15"/>
        <v>42.106376772899999</v>
      </c>
      <c r="P53" s="41">
        <f t="shared" si="16"/>
        <v>35.458001772899998</v>
      </c>
      <c r="Q53" s="41">
        <f t="shared" si="17"/>
        <v>42.106376772899999</v>
      </c>
      <c r="R53" s="41">
        <f t="shared" si="18"/>
        <v>0</v>
      </c>
      <c r="S53" s="41">
        <f t="shared" si="19"/>
        <v>27.923175000000001</v>
      </c>
      <c r="T53" s="41">
        <f t="shared" si="20"/>
        <v>21.274799999999999</v>
      </c>
      <c r="U53" s="41">
        <f t="shared" si="21"/>
        <v>10.6374</v>
      </c>
      <c r="V53" s="41">
        <f t="shared" si="22"/>
        <v>10.6374</v>
      </c>
      <c r="W53" s="41">
        <f t="shared" si="23"/>
        <v>21.274799999999999</v>
      </c>
      <c r="X53" s="41">
        <f t="shared" si="24"/>
        <v>0</v>
      </c>
      <c r="Y53" s="41">
        <f t="shared" si="24"/>
        <v>0</v>
      </c>
      <c r="Z53" s="41">
        <f t="shared" si="25"/>
        <v>6.6483750000000006</v>
      </c>
      <c r="AA53" s="41">
        <f t="shared" si="26"/>
        <v>0</v>
      </c>
      <c r="AB53" s="41">
        <f t="shared" si="27"/>
        <v>26.593500000000002</v>
      </c>
      <c r="AC53" s="41">
        <f t="shared" si="28"/>
        <v>26.593500000000002</v>
      </c>
      <c r="AD53" s="41">
        <f t="shared" si="29"/>
        <v>26.593500000000002</v>
      </c>
      <c r="AE53" s="41">
        <f t="shared" si="30"/>
        <v>106.37400000000001</v>
      </c>
      <c r="AF53" s="41">
        <f t="shared" si="31"/>
        <v>0</v>
      </c>
      <c r="AG53" s="41">
        <f t="shared" si="32"/>
        <v>0</v>
      </c>
      <c r="AH53" s="41">
        <f t="shared" si="33"/>
        <v>0</v>
      </c>
      <c r="AI53" s="1"/>
      <c r="AJ53" s="1"/>
      <c r="AK53" s="1"/>
    </row>
    <row r="54" spans="2:37" customFormat="1" ht="15" customHeight="1" x14ac:dyDescent="0.35">
      <c r="B54" s="60" t="s">
        <v>144</v>
      </c>
      <c r="C54" s="48">
        <v>0</v>
      </c>
      <c r="D54" s="48">
        <v>0</v>
      </c>
      <c r="E54" s="48">
        <v>0</v>
      </c>
      <c r="F54" s="48">
        <v>0</v>
      </c>
      <c r="G54" s="47">
        <v>0</v>
      </c>
      <c r="H54" s="48">
        <v>0</v>
      </c>
      <c r="I54" s="48">
        <v>0</v>
      </c>
      <c r="J54" s="49">
        <v>0</v>
      </c>
      <c r="K54" s="48">
        <v>0</v>
      </c>
      <c r="L54" s="48">
        <v>0</v>
      </c>
      <c r="M54" s="48">
        <f t="shared" si="13"/>
        <v>0</v>
      </c>
      <c r="N54" s="41">
        <f t="shared" si="14"/>
        <v>0</v>
      </c>
      <c r="O54" s="41">
        <f t="shared" si="15"/>
        <v>0</v>
      </c>
      <c r="P54" s="41">
        <f t="shared" si="16"/>
        <v>0</v>
      </c>
      <c r="Q54" s="41">
        <f t="shared" si="17"/>
        <v>0</v>
      </c>
      <c r="R54" s="41">
        <f t="shared" si="18"/>
        <v>0</v>
      </c>
      <c r="S54" s="41">
        <f t="shared" si="19"/>
        <v>0</v>
      </c>
      <c r="T54" s="41">
        <f t="shared" si="20"/>
        <v>0</v>
      </c>
      <c r="U54" s="41">
        <f t="shared" si="21"/>
        <v>0</v>
      </c>
      <c r="V54" s="41">
        <f t="shared" si="22"/>
        <v>0</v>
      </c>
      <c r="W54" s="41">
        <f t="shared" si="23"/>
        <v>0</v>
      </c>
      <c r="X54" s="41">
        <f t="shared" si="24"/>
        <v>0</v>
      </c>
      <c r="Y54" s="41">
        <f t="shared" si="24"/>
        <v>0</v>
      </c>
      <c r="Z54" s="41">
        <f t="shared" si="25"/>
        <v>0</v>
      </c>
      <c r="AA54" s="41">
        <f t="shared" si="26"/>
        <v>0</v>
      </c>
      <c r="AB54" s="41">
        <f t="shared" si="27"/>
        <v>0</v>
      </c>
      <c r="AC54" s="41">
        <f t="shared" si="28"/>
        <v>0</v>
      </c>
      <c r="AD54" s="41">
        <f t="shared" si="29"/>
        <v>0</v>
      </c>
      <c r="AE54" s="41">
        <f t="shared" si="30"/>
        <v>0</v>
      </c>
      <c r="AF54" s="41">
        <f t="shared" si="31"/>
        <v>0</v>
      </c>
      <c r="AG54" s="41">
        <f t="shared" si="32"/>
        <v>0</v>
      </c>
      <c r="AH54" s="41">
        <f t="shared" si="33"/>
        <v>0</v>
      </c>
      <c r="AI54" s="1"/>
      <c r="AJ54" s="1"/>
      <c r="AK54" s="1"/>
    </row>
    <row r="55" spans="2:37" customFormat="1" ht="15" customHeight="1" x14ac:dyDescent="0.35">
      <c r="B55" s="60" t="s">
        <v>145</v>
      </c>
      <c r="C55" s="48">
        <v>473.11</v>
      </c>
      <c r="D55" s="48">
        <v>0</v>
      </c>
      <c r="E55" s="48">
        <v>0</v>
      </c>
      <c r="F55" s="48">
        <v>0</v>
      </c>
      <c r="G55" s="47">
        <v>0</v>
      </c>
      <c r="H55" s="48">
        <v>0</v>
      </c>
      <c r="I55" s="48">
        <v>0</v>
      </c>
      <c r="J55" s="49">
        <v>0</v>
      </c>
      <c r="K55" s="48">
        <f t="shared" si="12"/>
        <v>28.386600000000001</v>
      </c>
      <c r="L55" s="48">
        <v>0</v>
      </c>
      <c r="M55" s="48">
        <f t="shared" si="13"/>
        <v>473.11</v>
      </c>
      <c r="N55" s="41">
        <f t="shared" si="14"/>
        <v>113.54640000000001</v>
      </c>
      <c r="O55" s="41">
        <f t="shared" si="15"/>
        <v>37.454543243700002</v>
      </c>
      <c r="P55" s="41">
        <f t="shared" si="16"/>
        <v>31.540668243700001</v>
      </c>
      <c r="Q55" s="41">
        <f t="shared" si="17"/>
        <v>37.454543243700002</v>
      </c>
      <c r="R55" s="41">
        <f t="shared" si="18"/>
        <v>0</v>
      </c>
      <c r="S55" s="41">
        <f t="shared" si="19"/>
        <v>24.838274999999999</v>
      </c>
      <c r="T55" s="41">
        <f t="shared" si="20"/>
        <v>18.924400000000002</v>
      </c>
      <c r="U55" s="41">
        <f t="shared" si="21"/>
        <v>9.4622000000000011</v>
      </c>
      <c r="V55" s="41">
        <f t="shared" si="22"/>
        <v>9.4622000000000011</v>
      </c>
      <c r="W55" s="41">
        <f t="shared" si="23"/>
        <v>18.924400000000002</v>
      </c>
      <c r="X55" s="41">
        <f t="shared" si="24"/>
        <v>0</v>
      </c>
      <c r="Y55" s="41">
        <f t="shared" si="24"/>
        <v>0</v>
      </c>
      <c r="Z55" s="41">
        <f t="shared" si="25"/>
        <v>5.9138750000000009</v>
      </c>
      <c r="AA55" s="41">
        <f t="shared" si="26"/>
        <v>0</v>
      </c>
      <c r="AB55" s="41">
        <f t="shared" si="27"/>
        <v>23.655500000000004</v>
      </c>
      <c r="AC55" s="41">
        <f t="shared" si="28"/>
        <v>23.655500000000004</v>
      </c>
      <c r="AD55" s="41">
        <f t="shared" si="29"/>
        <v>23.655500000000004</v>
      </c>
      <c r="AE55" s="41">
        <f t="shared" si="30"/>
        <v>94.622000000000014</v>
      </c>
      <c r="AF55" s="41">
        <f t="shared" si="31"/>
        <v>0</v>
      </c>
      <c r="AG55" s="41">
        <f t="shared" si="32"/>
        <v>0</v>
      </c>
      <c r="AH55" s="41">
        <f t="shared" si="33"/>
        <v>0</v>
      </c>
      <c r="AI55" s="1"/>
      <c r="AJ55" s="1"/>
      <c r="AK55" s="1"/>
    </row>
    <row r="56" spans="2:37" customFormat="1" ht="15" customHeight="1" x14ac:dyDescent="0.35">
      <c r="B56" s="60" t="s">
        <v>146</v>
      </c>
      <c r="C56" s="48">
        <v>667.66</v>
      </c>
      <c r="D56" s="48">
        <v>0</v>
      </c>
      <c r="E56" s="48">
        <v>0</v>
      </c>
      <c r="F56" s="48">
        <v>0</v>
      </c>
      <c r="G56" s="47">
        <v>0</v>
      </c>
      <c r="H56" s="48">
        <v>0</v>
      </c>
      <c r="I56" s="48">
        <v>0</v>
      </c>
      <c r="J56" s="49">
        <v>0</v>
      </c>
      <c r="K56" s="48">
        <f t="shared" si="12"/>
        <v>40.059599999999996</v>
      </c>
      <c r="L56" s="48">
        <v>0</v>
      </c>
      <c r="M56" s="48">
        <f t="shared" si="13"/>
        <v>667.66</v>
      </c>
      <c r="N56" s="41">
        <f t="shared" si="14"/>
        <v>160.23839999999998</v>
      </c>
      <c r="O56" s="41">
        <f t="shared" si="15"/>
        <v>52.856418892199997</v>
      </c>
      <c r="P56" s="41">
        <f t="shared" si="16"/>
        <v>44.510668892199995</v>
      </c>
      <c r="Q56" s="41">
        <f t="shared" si="17"/>
        <v>52.856418892199997</v>
      </c>
      <c r="R56" s="41">
        <f t="shared" si="18"/>
        <v>0</v>
      </c>
      <c r="S56" s="41">
        <f t="shared" si="19"/>
        <v>35.052149999999997</v>
      </c>
      <c r="T56" s="41">
        <f t="shared" si="20"/>
        <v>26.706399999999999</v>
      </c>
      <c r="U56" s="41">
        <f t="shared" si="21"/>
        <v>13.353199999999999</v>
      </c>
      <c r="V56" s="41">
        <f t="shared" si="22"/>
        <v>13.353199999999999</v>
      </c>
      <c r="W56" s="41">
        <f t="shared" si="23"/>
        <v>26.706399999999999</v>
      </c>
      <c r="X56" s="41">
        <f t="shared" si="24"/>
        <v>0</v>
      </c>
      <c r="Y56" s="41">
        <f t="shared" si="24"/>
        <v>0</v>
      </c>
      <c r="Z56" s="41">
        <f t="shared" si="25"/>
        <v>8.3457500000000007</v>
      </c>
      <c r="AA56" s="41">
        <f t="shared" si="26"/>
        <v>0</v>
      </c>
      <c r="AB56" s="41">
        <f t="shared" si="27"/>
        <v>33.383000000000003</v>
      </c>
      <c r="AC56" s="41">
        <f t="shared" si="28"/>
        <v>33.383000000000003</v>
      </c>
      <c r="AD56" s="41">
        <f t="shared" si="29"/>
        <v>33.383000000000003</v>
      </c>
      <c r="AE56" s="41">
        <f t="shared" si="30"/>
        <v>133.53200000000001</v>
      </c>
      <c r="AF56" s="41">
        <f t="shared" si="31"/>
        <v>0</v>
      </c>
      <c r="AG56" s="41">
        <f t="shared" si="32"/>
        <v>0</v>
      </c>
      <c r="AH56" s="41">
        <f t="shared" si="33"/>
        <v>0</v>
      </c>
      <c r="AI56" s="1"/>
      <c r="AJ56" s="1"/>
      <c r="AK56" s="1"/>
    </row>
    <row r="57" spans="2:37" customFormat="1" ht="15" customHeight="1" x14ac:dyDescent="0.35">
      <c r="B57" s="60" t="s">
        <v>147</v>
      </c>
      <c r="C57" s="48">
        <v>409.05</v>
      </c>
      <c r="D57" s="48">
        <v>0</v>
      </c>
      <c r="E57" s="48">
        <v>0</v>
      </c>
      <c r="F57" s="48">
        <v>0</v>
      </c>
      <c r="G57" s="47">
        <v>0</v>
      </c>
      <c r="H57" s="48">
        <v>0</v>
      </c>
      <c r="I57" s="48">
        <v>0</v>
      </c>
      <c r="J57" s="49">
        <v>0</v>
      </c>
      <c r="K57" s="48">
        <f t="shared" si="12"/>
        <v>24.542999999999999</v>
      </c>
      <c r="L57" s="48">
        <v>0</v>
      </c>
      <c r="M57" s="48">
        <f t="shared" si="13"/>
        <v>409.05</v>
      </c>
      <c r="N57" s="41">
        <f t="shared" si="14"/>
        <v>98.171999999999997</v>
      </c>
      <c r="O57" s="41">
        <f t="shared" si="15"/>
        <v>32.383126363499997</v>
      </c>
      <c r="P57" s="41">
        <f t="shared" si="16"/>
        <v>27.2700013635</v>
      </c>
      <c r="Q57" s="41">
        <f t="shared" si="17"/>
        <v>32.383126363499997</v>
      </c>
      <c r="R57" s="41">
        <f t="shared" si="18"/>
        <v>0</v>
      </c>
      <c r="S57" s="41">
        <f t="shared" si="19"/>
        <v>21.475124999999998</v>
      </c>
      <c r="T57" s="41">
        <f t="shared" si="20"/>
        <v>16.362000000000002</v>
      </c>
      <c r="U57" s="41">
        <f t="shared" si="21"/>
        <v>8.1810000000000009</v>
      </c>
      <c r="V57" s="41">
        <f t="shared" si="22"/>
        <v>8.1810000000000009</v>
      </c>
      <c r="W57" s="41">
        <f t="shared" si="23"/>
        <v>16.362000000000002</v>
      </c>
      <c r="X57" s="41">
        <f t="shared" si="24"/>
        <v>0</v>
      </c>
      <c r="Y57" s="41">
        <f t="shared" si="24"/>
        <v>0</v>
      </c>
      <c r="Z57" s="41">
        <f t="shared" si="25"/>
        <v>5.1131250000000001</v>
      </c>
      <c r="AA57" s="41">
        <f t="shared" si="26"/>
        <v>0</v>
      </c>
      <c r="AB57" s="41">
        <f t="shared" si="27"/>
        <v>20.452500000000001</v>
      </c>
      <c r="AC57" s="41">
        <f t="shared" si="28"/>
        <v>20.452500000000001</v>
      </c>
      <c r="AD57" s="41">
        <f t="shared" si="29"/>
        <v>20.452500000000001</v>
      </c>
      <c r="AE57" s="41">
        <f t="shared" si="30"/>
        <v>81.81</v>
      </c>
      <c r="AF57" s="41">
        <f t="shared" si="31"/>
        <v>0</v>
      </c>
      <c r="AG57" s="41">
        <f t="shared" si="32"/>
        <v>0</v>
      </c>
      <c r="AH57" s="41">
        <f t="shared" si="33"/>
        <v>0</v>
      </c>
      <c r="AI57" s="1"/>
      <c r="AJ57" s="1"/>
      <c r="AK57" s="1"/>
    </row>
    <row r="58" spans="2:37" customFormat="1" ht="15" customHeight="1" x14ac:dyDescent="0.35">
      <c r="B58" s="60" t="s">
        <v>148</v>
      </c>
      <c r="C58" s="48">
        <v>200</v>
      </c>
      <c r="D58" s="48"/>
      <c r="E58" s="48"/>
      <c r="F58" s="48"/>
      <c r="G58" s="47"/>
      <c r="H58" s="48"/>
      <c r="I58" s="48"/>
      <c r="J58" s="49"/>
      <c r="K58" s="48">
        <f t="shared" si="12"/>
        <v>12</v>
      </c>
      <c r="L58" s="48"/>
      <c r="M58" s="48">
        <f t="shared" si="13"/>
        <v>200</v>
      </c>
      <c r="N58" s="41">
        <f t="shared" si="14"/>
        <v>48</v>
      </c>
      <c r="O58" s="41">
        <f t="shared" si="15"/>
        <v>15.833333999999999</v>
      </c>
      <c r="P58" s="41">
        <f t="shared" si="16"/>
        <v>13.333333999999999</v>
      </c>
      <c r="Q58" s="41">
        <f t="shared" si="17"/>
        <v>15.833333999999999</v>
      </c>
      <c r="R58" s="41">
        <f t="shared" si="18"/>
        <v>0</v>
      </c>
      <c r="S58" s="41">
        <f t="shared" si="19"/>
        <v>10.5</v>
      </c>
      <c r="T58" s="41">
        <f t="shared" si="20"/>
        <v>8</v>
      </c>
      <c r="U58" s="41">
        <f t="shared" si="21"/>
        <v>4</v>
      </c>
      <c r="V58" s="41">
        <f t="shared" si="22"/>
        <v>4</v>
      </c>
      <c r="W58" s="41">
        <f t="shared" si="23"/>
        <v>8</v>
      </c>
      <c r="X58" s="41">
        <f t="shared" si="24"/>
        <v>0</v>
      </c>
      <c r="Y58" s="41">
        <f t="shared" si="24"/>
        <v>0</v>
      </c>
      <c r="Z58" s="41">
        <f t="shared" si="25"/>
        <v>2.5</v>
      </c>
      <c r="AA58" s="41">
        <f t="shared" si="26"/>
        <v>0</v>
      </c>
      <c r="AB58" s="41">
        <f t="shared" si="27"/>
        <v>10</v>
      </c>
      <c r="AC58" s="41">
        <f t="shared" si="28"/>
        <v>10</v>
      </c>
      <c r="AD58" s="41">
        <f t="shared" si="29"/>
        <v>10</v>
      </c>
      <c r="AE58" s="41">
        <f t="shared" si="30"/>
        <v>40</v>
      </c>
      <c r="AF58" s="41">
        <f t="shared" si="31"/>
        <v>0</v>
      </c>
      <c r="AG58" s="41">
        <f t="shared" si="32"/>
        <v>0</v>
      </c>
      <c r="AH58" s="41">
        <f t="shared" si="33"/>
        <v>0</v>
      </c>
      <c r="AI58" s="1"/>
      <c r="AJ58" s="1"/>
      <c r="AK58" s="1"/>
    </row>
    <row r="59" spans="2:37" customFormat="1" ht="15" customHeight="1" x14ac:dyDescent="0.35">
      <c r="B59" s="60" t="s">
        <v>366</v>
      </c>
      <c r="C59" s="48">
        <v>737.53</v>
      </c>
      <c r="D59" s="48">
        <v>0</v>
      </c>
      <c r="E59" s="48">
        <v>0</v>
      </c>
      <c r="F59" s="48">
        <v>0</v>
      </c>
      <c r="G59" s="47">
        <v>0</v>
      </c>
      <c r="H59" s="48">
        <v>0</v>
      </c>
      <c r="I59" s="48">
        <v>0</v>
      </c>
      <c r="J59" s="49">
        <v>0</v>
      </c>
      <c r="K59" s="48">
        <f t="shared" si="12"/>
        <v>44.251799999999996</v>
      </c>
      <c r="L59" s="48">
        <v>0</v>
      </c>
      <c r="M59" s="48">
        <f t="shared" si="13"/>
        <v>737.53</v>
      </c>
      <c r="N59" s="41">
        <f t="shared" si="14"/>
        <v>177.00719999999998</v>
      </c>
      <c r="O59" s="41">
        <f t="shared" si="15"/>
        <v>58.387794125099994</v>
      </c>
      <c r="P59" s="41">
        <f t="shared" si="16"/>
        <v>49.168669125099996</v>
      </c>
      <c r="Q59" s="41">
        <f t="shared" si="17"/>
        <v>58.387794125099994</v>
      </c>
      <c r="R59" s="41">
        <f t="shared" si="18"/>
        <v>0</v>
      </c>
      <c r="S59" s="41">
        <f t="shared" si="19"/>
        <v>38.720324999999995</v>
      </c>
      <c r="T59" s="41">
        <f t="shared" si="20"/>
        <v>29.501200000000001</v>
      </c>
      <c r="U59" s="41">
        <f t="shared" si="21"/>
        <v>14.7506</v>
      </c>
      <c r="V59" s="41">
        <f t="shared" si="22"/>
        <v>14.7506</v>
      </c>
      <c r="W59" s="41">
        <f t="shared" si="23"/>
        <v>29.501200000000001</v>
      </c>
      <c r="X59" s="41">
        <f t="shared" si="24"/>
        <v>0</v>
      </c>
      <c r="Y59" s="41">
        <f t="shared" si="24"/>
        <v>0</v>
      </c>
      <c r="Z59" s="41">
        <f t="shared" si="25"/>
        <v>9.219125</v>
      </c>
      <c r="AA59" s="41">
        <f t="shared" si="26"/>
        <v>0</v>
      </c>
      <c r="AB59" s="41">
        <f t="shared" si="27"/>
        <v>36.8765</v>
      </c>
      <c r="AC59" s="41">
        <f t="shared" si="28"/>
        <v>36.8765</v>
      </c>
      <c r="AD59" s="41">
        <f t="shared" si="29"/>
        <v>36.8765</v>
      </c>
      <c r="AE59" s="41">
        <f t="shared" si="30"/>
        <v>147.506</v>
      </c>
      <c r="AF59" s="41">
        <f t="shared" si="31"/>
        <v>0</v>
      </c>
      <c r="AG59" s="41">
        <f t="shared" si="32"/>
        <v>0</v>
      </c>
      <c r="AH59" s="41">
        <f t="shared" si="33"/>
        <v>0</v>
      </c>
      <c r="AI59" s="1"/>
      <c r="AJ59" s="1"/>
      <c r="AK59" s="1"/>
    </row>
    <row r="60" spans="2:37" customFormat="1" ht="15" customHeight="1" x14ac:dyDescent="0.35">
      <c r="B60" s="60" t="s">
        <v>149</v>
      </c>
      <c r="C60" s="48">
        <v>0</v>
      </c>
      <c r="D60" s="48">
        <v>0</v>
      </c>
      <c r="E60" s="48"/>
      <c r="F60" s="48"/>
      <c r="G60" s="47"/>
      <c r="H60" s="48"/>
      <c r="I60" s="48"/>
      <c r="J60" s="49"/>
      <c r="K60" s="48">
        <f t="shared" si="12"/>
        <v>0</v>
      </c>
      <c r="L60" s="48"/>
      <c r="M60" s="48">
        <f t="shared" si="13"/>
        <v>0</v>
      </c>
      <c r="N60" s="41">
        <f t="shared" si="14"/>
        <v>0</v>
      </c>
      <c r="O60" s="41">
        <f t="shared" si="15"/>
        <v>0</v>
      </c>
      <c r="P60" s="41">
        <f t="shared" si="16"/>
        <v>0</v>
      </c>
      <c r="Q60" s="41">
        <f t="shared" si="17"/>
        <v>0</v>
      </c>
      <c r="R60" s="41">
        <f t="shared" si="18"/>
        <v>0</v>
      </c>
      <c r="S60" s="41">
        <f t="shared" si="19"/>
        <v>0</v>
      </c>
      <c r="T60" s="41">
        <f t="shared" si="20"/>
        <v>0</v>
      </c>
      <c r="U60" s="41">
        <f t="shared" si="21"/>
        <v>0</v>
      </c>
      <c r="V60" s="41">
        <f t="shared" si="22"/>
        <v>0</v>
      </c>
      <c r="W60" s="41">
        <f t="shared" si="23"/>
        <v>0</v>
      </c>
      <c r="X60" s="41">
        <f t="shared" si="24"/>
        <v>0</v>
      </c>
      <c r="Y60" s="41">
        <f t="shared" si="24"/>
        <v>0</v>
      </c>
      <c r="Z60" s="41">
        <f t="shared" si="25"/>
        <v>0</v>
      </c>
      <c r="AA60" s="41">
        <f t="shared" si="26"/>
        <v>0</v>
      </c>
      <c r="AB60" s="41">
        <f t="shared" si="27"/>
        <v>0</v>
      </c>
      <c r="AC60" s="41">
        <f t="shared" si="28"/>
        <v>0</v>
      </c>
      <c r="AD60" s="41">
        <f t="shared" si="29"/>
        <v>0</v>
      </c>
      <c r="AE60" s="41">
        <f t="shared" si="30"/>
        <v>0</v>
      </c>
      <c r="AF60" s="41">
        <f t="shared" si="31"/>
        <v>0</v>
      </c>
      <c r="AG60" s="41">
        <f t="shared" si="32"/>
        <v>0</v>
      </c>
      <c r="AH60" s="41">
        <f t="shared" si="33"/>
        <v>0</v>
      </c>
      <c r="AI60" s="1"/>
      <c r="AJ60" s="1"/>
      <c r="AK60" s="1"/>
    </row>
    <row r="61" spans="2:37" ht="15" customHeight="1" x14ac:dyDescent="0.3">
      <c r="B61" s="60" t="s">
        <v>150</v>
      </c>
      <c r="C61" s="48">
        <v>505.31</v>
      </c>
      <c r="D61" s="48">
        <v>0</v>
      </c>
      <c r="E61" s="48">
        <v>0</v>
      </c>
      <c r="F61" s="48">
        <v>0</v>
      </c>
      <c r="G61" s="47">
        <v>0</v>
      </c>
      <c r="H61" s="48">
        <v>0</v>
      </c>
      <c r="I61" s="48">
        <v>0</v>
      </c>
      <c r="J61" s="49">
        <v>0</v>
      </c>
      <c r="K61" s="48">
        <f t="shared" si="12"/>
        <v>30.3186</v>
      </c>
      <c r="L61" s="48">
        <v>0</v>
      </c>
      <c r="M61" s="48">
        <f t="shared" si="13"/>
        <v>505.31</v>
      </c>
      <c r="N61" s="41">
        <f t="shared" si="14"/>
        <v>121.2744</v>
      </c>
      <c r="O61" s="41">
        <f t="shared" si="15"/>
        <v>40.003710017699994</v>
      </c>
      <c r="P61" s="41">
        <f t="shared" si="16"/>
        <v>33.687335017700001</v>
      </c>
      <c r="Q61" s="41">
        <f t="shared" si="17"/>
        <v>40.003710017699994</v>
      </c>
      <c r="R61" s="41">
        <f t="shared" si="18"/>
        <v>0</v>
      </c>
      <c r="S61" s="41">
        <f t="shared" si="19"/>
        <v>26.528775</v>
      </c>
      <c r="T61" s="41">
        <f t="shared" si="20"/>
        <v>20.212399999999999</v>
      </c>
      <c r="U61" s="41">
        <f t="shared" si="21"/>
        <v>10.106199999999999</v>
      </c>
      <c r="V61" s="41">
        <f t="shared" si="22"/>
        <v>10.106199999999999</v>
      </c>
      <c r="W61" s="41">
        <f t="shared" si="23"/>
        <v>20.212399999999999</v>
      </c>
      <c r="X61" s="41">
        <f t="shared" si="24"/>
        <v>0</v>
      </c>
      <c r="Y61" s="41">
        <f t="shared" si="24"/>
        <v>0</v>
      </c>
      <c r="Z61" s="41">
        <f t="shared" si="25"/>
        <v>6.3163750000000007</v>
      </c>
      <c r="AA61" s="41">
        <f t="shared" si="26"/>
        <v>0</v>
      </c>
      <c r="AB61" s="41">
        <f t="shared" si="27"/>
        <v>25.265500000000003</v>
      </c>
      <c r="AC61" s="41">
        <f t="shared" si="28"/>
        <v>25.265500000000003</v>
      </c>
      <c r="AD61" s="41">
        <f t="shared" si="29"/>
        <v>25.265500000000003</v>
      </c>
      <c r="AE61" s="41">
        <f t="shared" si="30"/>
        <v>101.06200000000001</v>
      </c>
      <c r="AF61" s="41">
        <f t="shared" si="31"/>
        <v>0</v>
      </c>
      <c r="AG61" s="41">
        <f t="shared" si="32"/>
        <v>0</v>
      </c>
      <c r="AH61" s="41">
        <f t="shared" si="33"/>
        <v>0</v>
      </c>
    </row>
    <row r="62" spans="2:37" ht="15" customHeight="1" x14ac:dyDescent="0.3">
      <c r="B62" s="60" t="s">
        <v>151</v>
      </c>
      <c r="C62" s="48">
        <f>525.68</f>
        <v>525.67999999999995</v>
      </c>
      <c r="D62" s="48">
        <v>0</v>
      </c>
      <c r="E62" s="48">
        <v>0</v>
      </c>
      <c r="F62" s="48">
        <v>0</v>
      </c>
      <c r="G62" s="48">
        <v>0</v>
      </c>
      <c r="H62" s="48">
        <v>0</v>
      </c>
      <c r="I62" s="48">
        <v>0</v>
      </c>
      <c r="J62" s="49">
        <v>0</v>
      </c>
      <c r="K62" s="48">
        <f t="shared" si="12"/>
        <v>31.540799999999997</v>
      </c>
      <c r="L62" s="48">
        <v>0</v>
      </c>
      <c r="M62" s="48">
        <f t="shared" si="13"/>
        <v>525.67999999999995</v>
      </c>
      <c r="N62" s="41">
        <f t="shared" si="14"/>
        <v>126.16319999999999</v>
      </c>
      <c r="O62" s="41">
        <f t="shared" si="15"/>
        <v>41.616335085599992</v>
      </c>
      <c r="P62" s="41">
        <f t="shared" si="16"/>
        <v>35.045335085599994</v>
      </c>
      <c r="Q62" s="41">
        <f t="shared" si="17"/>
        <v>41.616335085599992</v>
      </c>
      <c r="R62" s="41">
        <f t="shared" si="18"/>
        <v>0</v>
      </c>
      <c r="S62" s="41">
        <f t="shared" si="19"/>
        <v>27.598199999999995</v>
      </c>
      <c r="T62" s="41">
        <f t="shared" si="20"/>
        <v>21.027199999999997</v>
      </c>
      <c r="U62" s="41">
        <f t="shared" si="21"/>
        <v>10.513599999999999</v>
      </c>
      <c r="V62" s="41">
        <f t="shared" si="22"/>
        <v>10.513599999999999</v>
      </c>
      <c r="W62" s="41">
        <f t="shared" si="23"/>
        <v>21.027199999999997</v>
      </c>
      <c r="X62" s="41">
        <f t="shared" si="24"/>
        <v>0</v>
      </c>
      <c r="Y62" s="41">
        <f t="shared" si="24"/>
        <v>0</v>
      </c>
      <c r="Z62" s="41">
        <f t="shared" si="25"/>
        <v>6.5709999999999997</v>
      </c>
      <c r="AA62" s="41">
        <f t="shared" si="26"/>
        <v>0</v>
      </c>
      <c r="AB62" s="41">
        <f t="shared" si="27"/>
        <v>26.283999999999999</v>
      </c>
      <c r="AC62" s="41">
        <f t="shared" si="28"/>
        <v>26.283999999999999</v>
      </c>
      <c r="AD62" s="41">
        <f t="shared" si="29"/>
        <v>26.283999999999999</v>
      </c>
      <c r="AE62" s="41">
        <f t="shared" si="30"/>
        <v>105.136</v>
      </c>
      <c r="AF62" s="41">
        <f t="shared" si="31"/>
        <v>0</v>
      </c>
      <c r="AG62" s="41">
        <f t="shared" si="32"/>
        <v>0</v>
      </c>
      <c r="AH62" s="41">
        <f t="shared" si="33"/>
        <v>0</v>
      </c>
    </row>
    <row r="63" spans="2:37" ht="15" customHeight="1" x14ac:dyDescent="0.3">
      <c r="B63" s="60" t="s">
        <v>152</v>
      </c>
      <c r="C63" s="48">
        <v>100</v>
      </c>
      <c r="D63" s="48">
        <v>0</v>
      </c>
      <c r="E63" s="48">
        <v>0</v>
      </c>
      <c r="F63" s="48">
        <v>0</v>
      </c>
      <c r="G63" s="48">
        <v>0</v>
      </c>
      <c r="H63" s="48">
        <v>0</v>
      </c>
      <c r="I63" s="48">
        <v>0</v>
      </c>
      <c r="J63" s="49">
        <v>0</v>
      </c>
      <c r="K63" s="48">
        <f t="shared" si="12"/>
        <v>6</v>
      </c>
      <c r="L63" s="48">
        <v>0</v>
      </c>
      <c r="M63" s="48">
        <f t="shared" si="13"/>
        <v>100</v>
      </c>
      <c r="N63" s="41">
        <f t="shared" si="14"/>
        <v>24</v>
      </c>
      <c r="O63" s="41">
        <f t="shared" si="15"/>
        <v>7.9166669999999995</v>
      </c>
      <c r="P63" s="41">
        <f t="shared" si="16"/>
        <v>6.6666669999999995</v>
      </c>
      <c r="Q63" s="41">
        <f t="shared" si="17"/>
        <v>7.9166669999999995</v>
      </c>
      <c r="R63" s="41">
        <f t="shared" si="18"/>
        <v>0</v>
      </c>
      <c r="S63" s="41">
        <f t="shared" si="19"/>
        <v>5.25</v>
      </c>
      <c r="T63" s="41">
        <f t="shared" si="20"/>
        <v>4</v>
      </c>
      <c r="U63" s="41">
        <f t="shared" si="21"/>
        <v>2</v>
      </c>
      <c r="V63" s="41">
        <f t="shared" si="22"/>
        <v>2</v>
      </c>
      <c r="W63" s="41">
        <f t="shared" si="23"/>
        <v>4</v>
      </c>
      <c r="X63" s="41">
        <f t="shared" si="24"/>
        <v>0</v>
      </c>
      <c r="Y63" s="41">
        <f t="shared" si="24"/>
        <v>0</v>
      </c>
      <c r="Z63" s="41">
        <f t="shared" si="25"/>
        <v>1.25</v>
      </c>
      <c r="AA63" s="41">
        <f t="shared" si="26"/>
        <v>0</v>
      </c>
      <c r="AB63" s="41">
        <f t="shared" si="27"/>
        <v>5</v>
      </c>
      <c r="AC63" s="41">
        <f t="shared" si="28"/>
        <v>5</v>
      </c>
      <c r="AD63" s="41">
        <f t="shared" si="29"/>
        <v>5</v>
      </c>
      <c r="AE63" s="41">
        <f t="shared" si="30"/>
        <v>20</v>
      </c>
      <c r="AF63" s="41">
        <f t="shared" si="31"/>
        <v>0</v>
      </c>
      <c r="AG63" s="41">
        <f t="shared" si="32"/>
        <v>0</v>
      </c>
      <c r="AH63" s="41">
        <f t="shared" si="33"/>
        <v>0</v>
      </c>
    </row>
    <row r="64" spans="2:37" ht="15" customHeight="1" x14ac:dyDescent="0.3">
      <c r="B64" s="60" t="s">
        <v>153</v>
      </c>
      <c r="C64" s="48">
        <v>490.24</v>
      </c>
      <c r="D64" s="48">
        <v>0</v>
      </c>
      <c r="E64" s="48">
        <v>0</v>
      </c>
      <c r="F64" s="48">
        <v>0</v>
      </c>
      <c r="G64" s="48">
        <v>0</v>
      </c>
      <c r="H64" s="48">
        <v>0</v>
      </c>
      <c r="I64" s="48">
        <v>0</v>
      </c>
      <c r="J64" s="49">
        <v>0</v>
      </c>
      <c r="K64" s="48">
        <f t="shared" si="12"/>
        <v>29.414400000000001</v>
      </c>
      <c r="L64" s="48">
        <v>0</v>
      </c>
      <c r="M64" s="48">
        <f t="shared" si="13"/>
        <v>490.24</v>
      </c>
      <c r="N64" s="41">
        <f t="shared" si="14"/>
        <v>117.6576</v>
      </c>
      <c r="O64" s="41">
        <f t="shared" si="15"/>
        <v>38.810668300799996</v>
      </c>
      <c r="P64" s="41">
        <f t="shared" si="16"/>
        <v>32.682668300799996</v>
      </c>
      <c r="Q64" s="41">
        <f t="shared" si="17"/>
        <v>38.810668300799996</v>
      </c>
      <c r="R64" s="41">
        <f t="shared" si="18"/>
        <v>0</v>
      </c>
      <c r="S64" s="41">
        <f t="shared" si="19"/>
        <v>25.7376</v>
      </c>
      <c r="T64" s="41">
        <f t="shared" si="20"/>
        <v>19.6096</v>
      </c>
      <c r="U64" s="41">
        <f t="shared" si="21"/>
        <v>9.8048000000000002</v>
      </c>
      <c r="V64" s="41">
        <f t="shared" si="22"/>
        <v>9.8048000000000002</v>
      </c>
      <c r="W64" s="41">
        <f t="shared" si="23"/>
        <v>19.6096</v>
      </c>
      <c r="X64" s="41">
        <f t="shared" si="24"/>
        <v>0</v>
      </c>
      <c r="Y64" s="41">
        <f t="shared" si="24"/>
        <v>0</v>
      </c>
      <c r="Z64" s="41">
        <f t="shared" si="25"/>
        <v>6.1280000000000001</v>
      </c>
      <c r="AA64" s="41">
        <f t="shared" si="26"/>
        <v>0</v>
      </c>
      <c r="AB64" s="41">
        <f t="shared" si="27"/>
        <v>24.512</v>
      </c>
      <c r="AC64" s="41">
        <f t="shared" si="28"/>
        <v>24.512</v>
      </c>
      <c r="AD64" s="41">
        <f t="shared" si="29"/>
        <v>24.512</v>
      </c>
      <c r="AE64" s="41">
        <f t="shared" si="30"/>
        <v>98.048000000000002</v>
      </c>
      <c r="AF64" s="41">
        <f t="shared" si="31"/>
        <v>0</v>
      </c>
      <c r="AG64" s="41">
        <f t="shared" si="32"/>
        <v>0</v>
      </c>
      <c r="AH64" s="41">
        <f t="shared" si="33"/>
        <v>0</v>
      </c>
    </row>
    <row r="65" spans="2:34" ht="15" customHeight="1" x14ac:dyDescent="0.3">
      <c r="B65" s="60" t="s">
        <v>154</v>
      </c>
      <c r="C65" s="48">
        <v>341.48</v>
      </c>
      <c r="D65" s="48">
        <v>0</v>
      </c>
      <c r="E65" s="48">
        <v>0</v>
      </c>
      <c r="F65" s="48">
        <v>0</v>
      </c>
      <c r="G65" s="48">
        <v>0</v>
      </c>
      <c r="H65" s="48">
        <v>0</v>
      </c>
      <c r="I65" s="48">
        <v>0</v>
      </c>
      <c r="J65" s="49">
        <v>0</v>
      </c>
      <c r="K65" s="48">
        <f t="shared" si="12"/>
        <v>20.488800000000001</v>
      </c>
      <c r="L65" s="48">
        <v>0</v>
      </c>
      <c r="M65" s="48">
        <f t="shared" si="13"/>
        <v>341.48</v>
      </c>
      <c r="N65" s="41">
        <f t="shared" si="14"/>
        <v>81.955200000000005</v>
      </c>
      <c r="O65" s="41">
        <f t="shared" si="15"/>
        <v>27.033834471599999</v>
      </c>
      <c r="P65" s="41">
        <f t="shared" si="16"/>
        <v>22.765334471599999</v>
      </c>
      <c r="Q65" s="41">
        <f t="shared" si="17"/>
        <v>27.033834471599999</v>
      </c>
      <c r="R65" s="41">
        <f t="shared" si="18"/>
        <v>0</v>
      </c>
      <c r="S65" s="41">
        <f t="shared" si="19"/>
        <v>17.927700000000002</v>
      </c>
      <c r="T65" s="41">
        <f t="shared" si="20"/>
        <v>13.6592</v>
      </c>
      <c r="U65" s="41">
        <f t="shared" si="21"/>
        <v>6.8296000000000001</v>
      </c>
      <c r="V65" s="41">
        <f t="shared" si="22"/>
        <v>6.8296000000000001</v>
      </c>
      <c r="W65" s="41">
        <f t="shared" si="23"/>
        <v>13.6592</v>
      </c>
      <c r="X65" s="41">
        <f t="shared" si="24"/>
        <v>0</v>
      </c>
      <c r="Y65" s="41">
        <f t="shared" si="24"/>
        <v>0</v>
      </c>
      <c r="Z65" s="41">
        <f t="shared" si="25"/>
        <v>4.2685000000000004</v>
      </c>
      <c r="AA65" s="41">
        <f t="shared" si="26"/>
        <v>0</v>
      </c>
      <c r="AB65" s="41">
        <f t="shared" si="27"/>
        <v>17.074000000000002</v>
      </c>
      <c r="AC65" s="41">
        <f t="shared" si="28"/>
        <v>17.074000000000002</v>
      </c>
      <c r="AD65" s="41">
        <f t="shared" si="29"/>
        <v>17.074000000000002</v>
      </c>
      <c r="AE65" s="41">
        <f t="shared" si="30"/>
        <v>68.296000000000006</v>
      </c>
      <c r="AF65" s="41">
        <f t="shared" si="31"/>
        <v>0</v>
      </c>
      <c r="AG65" s="41">
        <f t="shared" si="32"/>
        <v>0</v>
      </c>
      <c r="AH65" s="41">
        <f t="shared" si="33"/>
        <v>0</v>
      </c>
    </row>
    <row r="66" spans="2:34" ht="15" customHeight="1" x14ac:dyDescent="0.3">
      <c r="B66" s="60" t="s">
        <v>155</v>
      </c>
      <c r="C66" s="48">
        <v>343.76</v>
      </c>
      <c r="D66" s="48">
        <v>0</v>
      </c>
      <c r="E66" s="48">
        <v>0</v>
      </c>
      <c r="F66" s="48">
        <v>0</v>
      </c>
      <c r="G66" s="48">
        <v>0</v>
      </c>
      <c r="H66" s="48">
        <v>0</v>
      </c>
      <c r="I66" s="48">
        <v>0</v>
      </c>
      <c r="J66" s="49">
        <v>0</v>
      </c>
      <c r="K66" s="48">
        <f t="shared" si="12"/>
        <v>20.625599999999999</v>
      </c>
      <c r="L66" s="48">
        <v>0</v>
      </c>
      <c r="M66" s="48">
        <f t="shared" si="13"/>
        <v>343.76</v>
      </c>
      <c r="N66" s="41">
        <f t="shared" si="14"/>
        <v>82.502399999999994</v>
      </c>
      <c r="O66" s="41">
        <f t="shared" si="15"/>
        <v>27.214334479199998</v>
      </c>
      <c r="P66" s="41">
        <f t="shared" si="16"/>
        <v>22.917334479199997</v>
      </c>
      <c r="Q66" s="41">
        <f t="shared" si="17"/>
        <v>27.214334479199998</v>
      </c>
      <c r="R66" s="41">
        <f t="shared" si="18"/>
        <v>0</v>
      </c>
      <c r="S66" s="41">
        <f t="shared" si="19"/>
        <v>18.0474</v>
      </c>
      <c r="T66" s="41">
        <f t="shared" si="20"/>
        <v>13.750399999999999</v>
      </c>
      <c r="U66" s="41">
        <f t="shared" si="21"/>
        <v>6.8751999999999995</v>
      </c>
      <c r="V66" s="41">
        <f t="shared" si="22"/>
        <v>6.8751999999999995</v>
      </c>
      <c r="W66" s="41">
        <f t="shared" si="23"/>
        <v>13.750399999999999</v>
      </c>
      <c r="X66" s="41">
        <f t="shared" si="24"/>
        <v>0</v>
      </c>
      <c r="Y66" s="41">
        <f t="shared" si="24"/>
        <v>0</v>
      </c>
      <c r="Z66" s="41">
        <f t="shared" si="25"/>
        <v>4.2969999999999997</v>
      </c>
      <c r="AA66" s="41">
        <f t="shared" si="26"/>
        <v>0</v>
      </c>
      <c r="AB66" s="41">
        <f t="shared" si="27"/>
        <v>17.187999999999999</v>
      </c>
      <c r="AC66" s="41">
        <f t="shared" si="28"/>
        <v>17.187999999999999</v>
      </c>
      <c r="AD66" s="41">
        <f t="shared" si="29"/>
        <v>17.187999999999999</v>
      </c>
      <c r="AE66" s="41">
        <f t="shared" si="30"/>
        <v>68.751999999999995</v>
      </c>
      <c r="AF66" s="41">
        <f t="shared" si="31"/>
        <v>0</v>
      </c>
      <c r="AG66" s="41">
        <f t="shared" si="32"/>
        <v>0</v>
      </c>
      <c r="AH66" s="41">
        <f t="shared" si="33"/>
        <v>0</v>
      </c>
    </row>
    <row r="67" spans="2:34" ht="15" customHeight="1" x14ac:dyDescent="0.3">
      <c r="B67" s="60" t="s">
        <v>155</v>
      </c>
      <c r="C67" s="48">
        <v>343.76</v>
      </c>
      <c r="D67" s="48">
        <f>34.38+3.44</f>
        <v>37.82</v>
      </c>
      <c r="E67" s="48">
        <v>0</v>
      </c>
      <c r="F67" s="48">
        <v>0</v>
      </c>
      <c r="G67" s="48">
        <v>0</v>
      </c>
      <c r="H67" s="48">
        <v>0</v>
      </c>
      <c r="I67" s="48">
        <v>0</v>
      </c>
      <c r="J67" s="49">
        <v>0</v>
      </c>
      <c r="K67" s="48">
        <f t="shared" si="12"/>
        <v>22.894799999999996</v>
      </c>
      <c r="L67" s="48">
        <v>0</v>
      </c>
      <c r="M67" s="48">
        <f t="shared" si="13"/>
        <v>381.58</v>
      </c>
      <c r="N67" s="41">
        <f t="shared" si="14"/>
        <v>91.579199999999986</v>
      </c>
      <c r="O67" s="41">
        <f t="shared" si="15"/>
        <v>30.208417938599997</v>
      </c>
      <c r="P67" s="41">
        <f t="shared" si="16"/>
        <v>25.438667938599998</v>
      </c>
      <c r="Q67" s="41">
        <f t="shared" si="17"/>
        <v>30.208417938599997</v>
      </c>
      <c r="R67" s="41">
        <f t="shared" si="18"/>
        <v>0</v>
      </c>
      <c r="S67" s="41">
        <f t="shared" si="19"/>
        <v>20.03295</v>
      </c>
      <c r="T67" s="41">
        <f t="shared" si="20"/>
        <v>15.263199999999999</v>
      </c>
      <c r="U67" s="41">
        <f t="shared" si="21"/>
        <v>7.6315999999999997</v>
      </c>
      <c r="V67" s="41">
        <f t="shared" si="22"/>
        <v>7.6315999999999997</v>
      </c>
      <c r="W67" s="41">
        <f t="shared" si="23"/>
        <v>15.263199999999999</v>
      </c>
      <c r="X67" s="41">
        <f t="shared" si="24"/>
        <v>0</v>
      </c>
      <c r="Y67" s="41">
        <f t="shared" si="24"/>
        <v>0</v>
      </c>
      <c r="Z67" s="41">
        <f t="shared" si="25"/>
        <v>4.7697500000000002</v>
      </c>
      <c r="AA67" s="41">
        <f t="shared" si="26"/>
        <v>0</v>
      </c>
      <c r="AB67" s="41">
        <f t="shared" si="27"/>
        <v>19.079000000000001</v>
      </c>
      <c r="AC67" s="41">
        <f t="shared" si="28"/>
        <v>19.079000000000001</v>
      </c>
      <c r="AD67" s="41">
        <f t="shared" si="29"/>
        <v>19.079000000000001</v>
      </c>
      <c r="AE67" s="41">
        <f t="shared" si="30"/>
        <v>76.316000000000003</v>
      </c>
      <c r="AF67" s="41">
        <f t="shared" si="31"/>
        <v>0</v>
      </c>
      <c r="AG67" s="41">
        <f t="shared" si="32"/>
        <v>0</v>
      </c>
      <c r="AH67" s="41">
        <f t="shared" si="33"/>
        <v>0</v>
      </c>
    </row>
    <row r="68" spans="2:34" ht="15" customHeight="1" x14ac:dyDescent="0.3">
      <c r="B68" s="60" t="s">
        <v>156</v>
      </c>
      <c r="C68" s="48">
        <f>488.99-209.69</f>
        <v>279.3</v>
      </c>
      <c r="D68" s="48">
        <v>0</v>
      </c>
      <c r="E68" s="48">
        <v>0</v>
      </c>
      <c r="F68" s="48">
        <v>0</v>
      </c>
      <c r="G68" s="48">
        <v>0</v>
      </c>
      <c r="H68" s="48">
        <v>0</v>
      </c>
      <c r="I68" s="48">
        <v>0</v>
      </c>
      <c r="J68" s="48">
        <v>0</v>
      </c>
      <c r="K68" s="48">
        <f t="shared" si="12"/>
        <v>16.757999999999999</v>
      </c>
      <c r="L68" s="48">
        <v>0</v>
      </c>
      <c r="M68" s="48">
        <f t="shared" si="13"/>
        <v>279.3</v>
      </c>
      <c r="N68" s="41">
        <f t="shared" si="14"/>
        <v>67.031999999999996</v>
      </c>
      <c r="O68" s="41">
        <f t="shared" si="15"/>
        <v>22.111250931000001</v>
      </c>
      <c r="P68" s="41">
        <f t="shared" si="16"/>
        <v>18.620000931</v>
      </c>
      <c r="Q68" s="41">
        <f t="shared" si="17"/>
        <v>22.111250931000001</v>
      </c>
      <c r="R68" s="41">
        <f t="shared" si="18"/>
        <v>0</v>
      </c>
      <c r="S68" s="41">
        <f t="shared" si="19"/>
        <v>14.66325</v>
      </c>
      <c r="T68" s="41">
        <f t="shared" si="20"/>
        <v>11.172000000000001</v>
      </c>
      <c r="U68" s="41">
        <f t="shared" si="21"/>
        <v>5.5860000000000003</v>
      </c>
      <c r="V68" s="41">
        <f t="shared" si="22"/>
        <v>5.5860000000000003</v>
      </c>
      <c r="W68" s="41">
        <f t="shared" si="23"/>
        <v>11.172000000000001</v>
      </c>
      <c r="X68" s="41">
        <f t="shared" si="24"/>
        <v>0</v>
      </c>
      <c r="Y68" s="41">
        <f t="shared" si="24"/>
        <v>0</v>
      </c>
      <c r="Z68" s="41">
        <f t="shared" si="25"/>
        <v>3.4912500000000004</v>
      </c>
      <c r="AA68" s="41">
        <f t="shared" si="26"/>
        <v>0</v>
      </c>
      <c r="AB68" s="41">
        <f t="shared" si="27"/>
        <v>13.965000000000002</v>
      </c>
      <c r="AC68" s="41">
        <f t="shared" si="28"/>
        <v>13.965000000000002</v>
      </c>
      <c r="AD68" s="41">
        <f t="shared" si="29"/>
        <v>13.965000000000002</v>
      </c>
      <c r="AE68" s="41">
        <f t="shared" si="30"/>
        <v>55.860000000000007</v>
      </c>
      <c r="AF68" s="41">
        <f t="shared" si="31"/>
        <v>0</v>
      </c>
      <c r="AG68" s="41">
        <f t="shared" si="32"/>
        <v>0</v>
      </c>
      <c r="AH68" s="41">
        <f t="shared" si="33"/>
        <v>0</v>
      </c>
    </row>
    <row r="69" spans="2:34" ht="15" customHeight="1" x14ac:dyDescent="0.3">
      <c r="B69" s="60" t="s">
        <v>22</v>
      </c>
      <c r="C69" s="48">
        <v>500</v>
      </c>
      <c r="D69" s="48">
        <v>0</v>
      </c>
      <c r="E69" s="48">
        <v>0</v>
      </c>
      <c r="F69" s="48">
        <v>0</v>
      </c>
      <c r="G69" s="48">
        <v>0</v>
      </c>
      <c r="H69" s="48">
        <v>0</v>
      </c>
      <c r="I69" s="48">
        <v>0</v>
      </c>
      <c r="J69" s="48">
        <v>0</v>
      </c>
      <c r="K69" s="48">
        <f t="shared" si="12"/>
        <v>30</v>
      </c>
      <c r="L69" s="48">
        <v>0</v>
      </c>
      <c r="M69" s="48">
        <f t="shared" si="13"/>
        <v>500</v>
      </c>
      <c r="N69" s="41">
        <f t="shared" si="14"/>
        <v>120</v>
      </c>
      <c r="O69" s="41">
        <f t="shared" si="15"/>
        <v>39.583334999999998</v>
      </c>
      <c r="P69" s="41">
        <f t="shared" si="16"/>
        <v>33.333334999999998</v>
      </c>
      <c r="Q69" s="41">
        <f t="shared" si="17"/>
        <v>39.583334999999998</v>
      </c>
      <c r="R69" s="41">
        <f t="shared" si="18"/>
        <v>0</v>
      </c>
      <c r="S69" s="41">
        <f t="shared" si="19"/>
        <v>26.25</v>
      </c>
      <c r="T69" s="41">
        <f t="shared" si="20"/>
        <v>20</v>
      </c>
      <c r="U69" s="41">
        <f t="shared" si="21"/>
        <v>10</v>
      </c>
      <c r="V69" s="41">
        <f t="shared" si="22"/>
        <v>10</v>
      </c>
      <c r="W69" s="41">
        <f t="shared" si="23"/>
        <v>20</v>
      </c>
      <c r="X69" s="41">
        <f t="shared" si="24"/>
        <v>0</v>
      </c>
      <c r="Y69" s="41">
        <f t="shared" si="24"/>
        <v>0</v>
      </c>
      <c r="Z69" s="41">
        <f t="shared" si="25"/>
        <v>6.25</v>
      </c>
      <c r="AA69" s="41">
        <f t="shared" si="26"/>
        <v>0</v>
      </c>
      <c r="AB69" s="41">
        <f t="shared" si="27"/>
        <v>25</v>
      </c>
      <c r="AC69" s="41">
        <f t="shared" si="28"/>
        <v>25</v>
      </c>
      <c r="AD69" s="41">
        <f t="shared" si="29"/>
        <v>25</v>
      </c>
      <c r="AE69" s="41">
        <f t="shared" si="30"/>
        <v>100</v>
      </c>
      <c r="AF69" s="41">
        <f t="shared" si="31"/>
        <v>0</v>
      </c>
      <c r="AG69" s="41">
        <f t="shared" si="32"/>
        <v>0</v>
      </c>
      <c r="AH69" s="41">
        <f t="shared" si="33"/>
        <v>0</v>
      </c>
    </row>
    <row r="70" spans="2:34" ht="15" customHeight="1" x14ac:dyDescent="0.3">
      <c r="B70" s="60" t="s">
        <v>23</v>
      </c>
      <c r="C70" s="48">
        <v>592.77</v>
      </c>
      <c r="D70" s="48">
        <v>0</v>
      </c>
      <c r="E70" s="48">
        <v>0</v>
      </c>
      <c r="F70" s="48">
        <v>0</v>
      </c>
      <c r="G70" s="48">
        <v>0</v>
      </c>
      <c r="H70" s="48">
        <v>0</v>
      </c>
      <c r="I70" s="48">
        <v>0</v>
      </c>
      <c r="J70" s="49">
        <v>0</v>
      </c>
      <c r="K70" s="48">
        <f t="shared" si="12"/>
        <v>35.566199999999995</v>
      </c>
      <c r="L70" s="48">
        <v>0</v>
      </c>
      <c r="M70" s="48">
        <f t="shared" si="13"/>
        <v>592.77</v>
      </c>
      <c r="N70" s="41">
        <f t="shared" si="14"/>
        <v>142.26479999999998</v>
      </c>
      <c r="O70" s="41">
        <f t="shared" si="15"/>
        <v>46.927626975899997</v>
      </c>
      <c r="P70" s="41">
        <f t="shared" si="16"/>
        <v>39.518001975899999</v>
      </c>
      <c r="Q70" s="41">
        <f t="shared" si="17"/>
        <v>46.927626975899997</v>
      </c>
      <c r="R70" s="41">
        <f t="shared" si="18"/>
        <v>0</v>
      </c>
      <c r="S70" s="41">
        <f t="shared" si="19"/>
        <v>31.120424999999997</v>
      </c>
      <c r="T70" s="41">
        <f t="shared" si="20"/>
        <v>23.710799999999999</v>
      </c>
      <c r="U70" s="41">
        <f t="shared" si="21"/>
        <v>11.855399999999999</v>
      </c>
      <c r="V70" s="41">
        <f t="shared" si="22"/>
        <v>11.855399999999999</v>
      </c>
      <c r="W70" s="41">
        <f t="shared" si="23"/>
        <v>23.710799999999999</v>
      </c>
      <c r="X70" s="41">
        <f t="shared" si="24"/>
        <v>0</v>
      </c>
      <c r="Y70" s="41">
        <f t="shared" si="24"/>
        <v>0</v>
      </c>
      <c r="Z70" s="41">
        <f t="shared" si="25"/>
        <v>7.4096250000000001</v>
      </c>
      <c r="AA70" s="41">
        <f t="shared" si="26"/>
        <v>0</v>
      </c>
      <c r="AB70" s="41">
        <f t="shared" si="27"/>
        <v>29.638500000000001</v>
      </c>
      <c r="AC70" s="41">
        <f t="shared" si="28"/>
        <v>29.638500000000001</v>
      </c>
      <c r="AD70" s="41">
        <f t="shared" si="29"/>
        <v>29.638500000000001</v>
      </c>
      <c r="AE70" s="41">
        <f t="shared" si="30"/>
        <v>118.554</v>
      </c>
      <c r="AF70" s="41">
        <f t="shared" si="31"/>
        <v>0</v>
      </c>
      <c r="AG70" s="41">
        <f t="shared" si="32"/>
        <v>0</v>
      </c>
      <c r="AH70" s="41">
        <f t="shared" si="33"/>
        <v>0</v>
      </c>
    </row>
    <row r="71" spans="2:34" ht="15" customHeight="1" x14ac:dyDescent="0.3">
      <c r="B71" s="60" t="s">
        <v>157</v>
      </c>
      <c r="C71" s="48">
        <v>550</v>
      </c>
      <c r="D71" s="48">
        <v>0</v>
      </c>
      <c r="E71" s="48">
        <v>0</v>
      </c>
      <c r="F71" s="48">
        <v>0</v>
      </c>
      <c r="G71" s="48">
        <v>0</v>
      </c>
      <c r="H71" s="48">
        <v>0</v>
      </c>
      <c r="I71" s="48">
        <v>0</v>
      </c>
      <c r="J71" s="49">
        <v>0</v>
      </c>
      <c r="K71" s="48">
        <f t="shared" si="12"/>
        <v>33</v>
      </c>
      <c r="L71" s="48">
        <v>0</v>
      </c>
      <c r="M71" s="48">
        <f t="shared" si="13"/>
        <v>550</v>
      </c>
      <c r="N71" s="41">
        <f t="shared" si="14"/>
        <v>132</v>
      </c>
      <c r="O71" s="41">
        <f t="shared" si="15"/>
        <v>43.5416685</v>
      </c>
      <c r="P71" s="41">
        <f t="shared" si="16"/>
        <v>36.6666685</v>
      </c>
      <c r="Q71" s="41">
        <f t="shared" si="17"/>
        <v>43.5416685</v>
      </c>
      <c r="R71" s="41">
        <f t="shared" si="18"/>
        <v>0</v>
      </c>
      <c r="S71" s="41">
        <f t="shared" si="19"/>
        <v>28.875</v>
      </c>
      <c r="T71" s="41">
        <f t="shared" si="20"/>
        <v>22</v>
      </c>
      <c r="U71" s="41">
        <f t="shared" si="21"/>
        <v>11</v>
      </c>
      <c r="V71" s="41">
        <f t="shared" si="22"/>
        <v>11</v>
      </c>
      <c r="W71" s="41">
        <f t="shared" si="23"/>
        <v>22</v>
      </c>
      <c r="X71" s="41">
        <f t="shared" si="24"/>
        <v>0</v>
      </c>
      <c r="Y71" s="41">
        <f t="shared" si="24"/>
        <v>0</v>
      </c>
      <c r="Z71" s="41">
        <f t="shared" si="25"/>
        <v>6.875</v>
      </c>
      <c r="AA71" s="41">
        <f t="shared" si="26"/>
        <v>0</v>
      </c>
      <c r="AB71" s="41">
        <f t="shared" si="27"/>
        <v>27.5</v>
      </c>
      <c r="AC71" s="41">
        <f t="shared" si="28"/>
        <v>27.5</v>
      </c>
      <c r="AD71" s="41">
        <f t="shared" si="29"/>
        <v>27.5</v>
      </c>
      <c r="AE71" s="41">
        <f t="shared" si="30"/>
        <v>110</v>
      </c>
      <c r="AF71" s="41">
        <f t="shared" si="31"/>
        <v>0</v>
      </c>
      <c r="AG71" s="41">
        <f t="shared" si="32"/>
        <v>0</v>
      </c>
      <c r="AH71" s="41">
        <f t="shared" si="33"/>
        <v>0</v>
      </c>
    </row>
    <row r="72" spans="2:34" ht="15" customHeight="1" x14ac:dyDescent="0.3">
      <c r="B72" s="60" t="s">
        <v>24</v>
      </c>
      <c r="C72" s="48">
        <v>550</v>
      </c>
      <c r="D72" s="48">
        <v>0</v>
      </c>
      <c r="E72" s="48">
        <v>0</v>
      </c>
      <c r="F72" s="48">
        <v>0</v>
      </c>
      <c r="G72" s="48">
        <v>0</v>
      </c>
      <c r="H72" s="48">
        <v>0</v>
      </c>
      <c r="I72" s="48">
        <v>0</v>
      </c>
      <c r="J72" s="49">
        <v>0</v>
      </c>
      <c r="K72" s="48">
        <f t="shared" si="12"/>
        <v>33</v>
      </c>
      <c r="L72" s="48">
        <v>0</v>
      </c>
      <c r="M72" s="48">
        <f t="shared" si="13"/>
        <v>550</v>
      </c>
      <c r="N72" s="41">
        <f t="shared" si="14"/>
        <v>132</v>
      </c>
      <c r="O72" s="41">
        <f t="shared" si="15"/>
        <v>43.5416685</v>
      </c>
      <c r="P72" s="41">
        <f t="shared" si="16"/>
        <v>36.6666685</v>
      </c>
      <c r="Q72" s="41">
        <f t="shared" si="17"/>
        <v>43.5416685</v>
      </c>
      <c r="R72" s="41">
        <f t="shared" si="18"/>
        <v>0</v>
      </c>
      <c r="S72" s="41">
        <f t="shared" si="19"/>
        <v>28.875</v>
      </c>
      <c r="T72" s="41">
        <f t="shared" si="20"/>
        <v>22</v>
      </c>
      <c r="U72" s="41">
        <f t="shared" si="21"/>
        <v>11</v>
      </c>
      <c r="V72" s="41">
        <f t="shared" si="22"/>
        <v>11</v>
      </c>
      <c r="W72" s="41">
        <f t="shared" si="23"/>
        <v>22</v>
      </c>
      <c r="X72" s="41">
        <f t="shared" si="24"/>
        <v>0</v>
      </c>
      <c r="Y72" s="41">
        <f t="shared" si="24"/>
        <v>0</v>
      </c>
      <c r="Z72" s="41">
        <f t="shared" si="25"/>
        <v>6.875</v>
      </c>
      <c r="AA72" s="41">
        <f t="shared" si="26"/>
        <v>0</v>
      </c>
      <c r="AB72" s="41">
        <f t="shared" si="27"/>
        <v>27.5</v>
      </c>
      <c r="AC72" s="41">
        <f t="shared" si="28"/>
        <v>27.5</v>
      </c>
      <c r="AD72" s="41">
        <f t="shared" si="29"/>
        <v>27.5</v>
      </c>
      <c r="AE72" s="41">
        <f t="shared" si="30"/>
        <v>110</v>
      </c>
      <c r="AF72" s="41">
        <f t="shared" si="31"/>
        <v>0</v>
      </c>
      <c r="AG72" s="41">
        <f t="shared" si="32"/>
        <v>0</v>
      </c>
      <c r="AH72" s="41">
        <f t="shared" si="33"/>
        <v>0</v>
      </c>
    </row>
    <row r="73" spans="2:34" ht="15" customHeight="1" x14ac:dyDescent="0.3">
      <c r="B73" s="60" t="s">
        <v>158</v>
      </c>
      <c r="C73" s="48">
        <v>514.70000000000005</v>
      </c>
      <c r="D73" s="48">
        <v>0</v>
      </c>
      <c r="E73" s="48">
        <v>0</v>
      </c>
      <c r="F73" s="48">
        <v>0</v>
      </c>
      <c r="G73" s="48">
        <v>0</v>
      </c>
      <c r="H73" s="48">
        <v>0</v>
      </c>
      <c r="I73" s="48">
        <v>0</v>
      </c>
      <c r="J73" s="49">
        <v>0</v>
      </c>
      <c r="K73" s="48">
        <f t="shared" si="12"/>
        <v>30.882000000000001</v>
      </c>
      <c r="L73" s="48">
        <v>0</v>
      </c>
      <c r="M73" s="48">
        <f t="shared" si="13"/>
        <v>514.70000000000005</v>
      </c>
      <c r="N73" s="41">
        <f t="shared" si="14"/>
        <v>123.52800000000001</v>
      </c>
      <c r="O73" s="41">
        <f t="shared" si="15"/>
        <v>40.747085048999999</v>
      </c>
      <c r="P73" s="41">
        <f t="shared" si="16"/>
        <v>34.313335049000003</v>
      </c>
      <c r="Q73" s="41">
        <f t="shared" si="17"/>
        <v>40.747085048999999</v>
      </c>
      <c r="R73" s="41">
        <f t="shared" si="18"/>
        <v>0</v>
      </c>
      <c r="S73" s="41">
        <f t="shared" si="19"/>
        <v>27.021750000000001</v>
      </c>
      <c r="T73" s="41">
        <f t="shared" si="20"/>
        <v>20.588000000000001</v>
      </c>
      <c r="U73" s="41">
        <f t="shared" si="21"/>
        <v>10.294</v>
      </c>
      <c r="V73" s="41">
        <f t="shared" si="22"/>
        <v>10.294</v>
      </c>
      <c r="W73" s="41">
        <f t="shared" si="23"/>
        <v>20.588000000000001</v>
      </c>
      <c r="X73" s="41">
        <f t="shared" si="24"/>
        <v>0</v>
      </c>
      <c r="Y73" s="41">
        <f t="shared" si="24"/>
        <v>0</v>
      </c>
      <c r="Z73" s="41">
        <f t="shared" si="25"/>
        <v>6.4337500000000007</v>
      </c>
      <c r="AA73" s="41">
        <f t="shared" si="26"/>
        <v>0</v>
      </c>
      <c r="AB73" s="41">
        <f t="shared" si="27"/>
        <v>25.735000000000003</v>
      </c>
      <c r="AC73" s="41">
        <f t="shared" si="28"/>
        <v>25.735000000000003</v>
      </c>
      <c r="AD73" s="41">
        <f t="shared" si="29"/>
        <v>25.735000000000003</v>
      </c>
      <c r="AE73" s="41">
        <f t="shared" si="30"/>
        <v>102.94000000000001</v>
      </c>
      <c r="AF73" s="41">
        <f t="shared" si="31"/>
        <v>0</v>
      </c>
      <c r="AG73" s="41">
        <f t="shared" si="32"/>
        <v>0</v>
      </c>
      <c r="AH73" s="41">
        <f t="shared" si="33"/>
        <v>0</v>
      </c>
    </row>
    <row r="74" spans="2:34" ht="15" customHeight="1" x14ac:dyDescent="0.3">
      <c r="B74" s="60" t="s">
        <v>25</v>
      </c>
      <c r="C74" s="48">
        <v>500</v>
      </c>
      <c r="D74" s="48">
        <v>0</v>
      </c>
      <c r="E74" s="48">
        <v>0</v>
      </c>
      <c r="F74" s="48">
        <v>0</v>
      </c>
      <c r="G74" s="48">
        <v>0</v>
      </c>
      <c r="H74" s="48">
        <v>0</v>
      </c>
      <c r="I74" s="48">
        <v>0</v>
      </c>
      <c r="J74" s="49">
        <v>0</v>
      </c>
      <c r="K74" s="48">
        <f t="shared" si="12"/>
        <v>30</v>
      </c>
      <c r="L74" s="48">
        <v>0</v>
      </c>
      <c r="M74" s="48">
        <f t="shared" si="13"/>
        <v>500</v>
      </c>
      <c r="N74" s="41">
        <f t="shared" si="14"/>
        <v>120</v>
      </c>
      <c r="O74" s="41">
        <f t="shared" si="15"/>
        <v>39.583334999999998</v>
      </c>
      <c r="P74" s="41">
        <f t="shared" si="16"/>
        <v>33.333334999999998</v>
      </c>
      <c r="Q74" s="41">
        <f t="shared" si="17"/>
        <v>39.583334999999998</v>
      </c>
      <c r="R74" s="41">
        <f t="shared" si="18"/>
        <v>0</v>
      </c>
      <c r="S74" s="41">
        <f t="shared" si="19"/>
        <v>26.25</v>
      </c>
      <c r="T74" s="41">
        <f t="shared" si="20"/>
        <v>20</v>
      </c>
      <c r="U74" s="41">
        <f t="shared" si="21"/>
        <v>10</v>
      </c>
      <c r="V74" s="41">
        <f t="shared" si="22"/>
        <v>10</v>
      </c>
      <c r="W74" s="41">
        <f t="shared" si="23"/>
        <v>20</v>
      </c>
      <c r="X74" s="41">
        <f t="shared" si="24"/>
        <v>0</v>
      </c>
      <c r="Y74" s="41">
        <f t="shared" si="24"/>
        <v>0</v>
      </c>
      <c r="Z74" s="41">
        <f t="shared" si="25"/>
        <v>6.25</v>
      </c>
      <c r="AA74" s="41">
        <f t="shared" si="26"/>
        <v>0</v>
      </c>
      <c r="AB74" s="41">
        <f t="shared" si="27"/>
        <v>25</v>
      </c>
      <c r="AC74" s="41">
        <f t="shared" si="28"/>
        <v>25</v>
      </c>
      <c r="AD74" s="41">
        <f t="shared" si="29"/>
        <v>25</v>
      </c>
      <c r="AE74" s="41">
        <f t="shared" si="30"/>
        <v>100</v>
      </c>
      <c r="AF74" s="41">
        <f t="shared" si="31"/>
        <v>0</v>
      </c>
      <c r="AG74" s="41">
        <f t="shared" si="32"/>
        <v>0</v>
      </c>
      <c r="AH74" s="41">
        <f t="shared" si="33"/>
        <v>0</v>
      </c>
    </row>
    <row r="75" spans="2:34" ht="15" customHeight="1" x14ac:dyDescent="0.3">
      <c r="B75" s="60" t="s">
        <v>159</v>
      </c>
      <c r="C75" s="48">
        <v>358.29</v>
      </c>
      <c r="D75" s="48">
        <v>0</v>
      </c>
      <c r="E75" s="48">
        <v>0</v>
      </c>
      <c r="F75" s="48">
        <v>0</v>
      </c>
      <c r="G75" s="48">
        <v>0</v>
      </c>
      <c r="H75" s="48">
        <v>0</v>
      </c>
      <c r="I75" s="48">
        <v>0</v>
      </c>
      <c r="J75" s="49">
        <v>0</v>
      </c>
      <c r="K75" s="48">
        <f t="shared" si="12"/>
        <v>21.497399999999999</v>
      </c>
      <c r="L75" s="48">
        <v>0</v>
      </c>
      <c r="M75" s="48">
        <f t="shared" si="13"/>
        <v>358.29</v>
      </c>
      <c r="N75" s="41">
        <f t="shared" si="14"/>
        <v>85.989599999999996</v>
      </c>
      <c r="O75" s="41">
        <f t="shared" si="15"/>
        <v>28.364626194300001</v>
      </c>
      <c r="P75" s="41">
        <f t="shared" si="16"/>
        <v>23.8860011943</v>
      </c>
      <c r="Q75" s="41">
        <f t="shared" si="17"/>
        <v>28.364626194300001</v>
      </c>
      <c r="R75" s="41">
        <f t="shared" si="18"/>
        <v>0</v>
      </c>
      <c r="S75" s="41">
        <f t="shared" si="19"/>
        <v>18.810224999999999</v>
      </c>
      <c r="T75" s="41">
        <f t="shared" si="20"/>
        <v>14.331600000000002</v>
      </c>
      <c r="U75" s="41">
        <f t="shared" si="21"/>
        <v>7.1658000000000008</v>
      </c>
      <c r="V75" s="41">
        <f t="shared" si="22"/>
        <v>7.1658000000000008</v>
      </c>
      <c r="W75" s="41">
        <f t="shared" si="23"/>
        <v>14.331600000000002</v>
      </c>
      <c r="X75" s="41">
        <f t="shared" si="24"/>
        <v>0</v>
      </c>
      <c r="Y75" s="41">
        <f t="shared" si="24"/>
        <v>0</v>
      </c>
      <c r="Z75" s="41">
        <f t="shared" si="25"/>
        <v>4.4786250000000001</v>
      </c>
      <c r="AA75" s="41">
        <f t="shared" si="26"/>
        <v>0</v>
      </c>
      <c r="AB75" s="41">
        <f t="shared" si="27"/>
        <v>17.9145</v>
      </c>
      <c r="AC75" s="41">
        <f t="shared" si="28"/>
        <v>17.9145</v>
      </c>
      <c r="AD75" s="41">
        <f t="shared" si="29"/>
        <v>17.9145</v>
      </c>
      <c r="AE75" s="41">
        <f t="shared" si="30"/>
        <v>71.658000000000001</v>
      </c>
      <c r="AF75" s="41">
        <f t="shared" si="31"/>
        <v>0</v>
      </c>
      <c r="AG75" s="41">
        <f t="shared" si="32"/>
        <v>0</v>
      </c>
      <c r="AH75" s="41">
        <f t="shared" si="33"/>
        <v>0</v>
      </c>
    </row>
    <row r="76" spans="2:34" ht="15" customHeight="1" x14ac:dyDescent="0.3">
      <c r="B76" s="60" t="s">
        <v>160</v>
      </c>
      <c r="C76" s="48">
        <f>277.71</f>
        <v>277.70999999999998</v>
      </c>
      <c r="D76" s="48">
        <v>0</v>
      </c>
      <c r="E76" s="48">
        <v>0</v>
      </c>
      <c r="F76" s="48">
        <v>0</v>
      </c>
      <c r="G76" s="48">
        <v>0</v>
      </c>
      <c r="H76" s="48">
        <v>0</v>
      </c>
      <c r="I76" s="48">
        <v>0</v>
      </c>
      <c r="J76" s="49">
        <v>0</v>
      </c>
      <c r="K76" s="48">
        <f t="shared" si="12"/>
        <v>16.662599999999998</v>
      </c>
      <c r="L76" s="48">
        <v>0</v>
      </c>
      <c r="M76" s="48">
        <f t="shared" si="13"/>
        <v>277.70999999999998</v>
      </c>
      <c r="N76" s="41">
        <f t="shared" si="14"/>
        <v>66.650399999999991</v>
      </c>
      <c r="O76" s="41">
        <f t="shared" si="15"/>
        <v>21.985375925699998</v>
      </c>
      <c r="P76" s="41">
        <f t="shared" si="16"/>
        <v>18.5140009257</v>
      </c>
      <c r="Q76" s="41">
        <f t="shared" si="17"/>
        <v>21.985375925699998</v>
      </c>
      <c r="R76" s="41">
        <f t="shared" si="18"/>
        <v>0</v>
      </c>
      <c r="S76" s="41">
        <f t="shared" si="19"/>
        <v>14.579774999999998</v>
      </c>
      <c r="T76" s="41">
        <f t="shared" si="20"/>
        <v>11.1084</v>
      </c>
      <c r="U76" s="41">
        <f t="shared" si="21"/>
        <v>5.5541999999999998</v>
      </c>
      <c r="V76" s="41">
        <f t="shared" si="22"/>
        <v>5.5541999999999998</v>
      </c>
      <c r="W76" s="41">
        <f t="shared" si="23"/>
        <v>11.1084</v>
      </c>
      <c r="X76" s="41">
        <f t="shared" si="24"/>
        <v>0</v>
      </c>
      <c r="Y76" s="41">
        <f t="shared" si="24"/>
        <v>0</v>
      </c>
      <c r="Z76" s="41">
        <f t="shared" si="25"/>
        <v>3.4713750000000001</v>
      </c>
      <c r="AA76" s="41">
        <f t="shared" si="26"/>
        <v>0</v>
      </c>
      <c r="AB76" s="41">
        <f t="shared" si="27"/>
        <v>13.8855</v>
      </c>
      <c r="AC76" s="41">
        <f t="shared" si="28"/>
        <v>13.8855</v>
      </c>
      <c r="AD76" s="41">
        <f t="shared" si="29"/>
        <v>13.8855</v>
      </c>
      <c r="AE76" s="41">
        <f t="shared" si="30"/>
        <v>55.542000000000002</v>
      </c>
      <c r="AF76" s="41">
        <f t="shared" si="31"/>
        <v>0</v>
      </c>
      <c r="AG76" s="41">
        <f t="shared" si="32"/>
        <v>0</v>
      </c>
      <c r="AH76" s="41">
        <f t="shared" si="33"/>
        <v>0</v>
      </c>
    </row>
    <row r="77" spans="2:34" ht="15" customHeight="1" x14ac:dyDescent="0.3">
      <c r="B77" s="60" t="s">
        <v>161</v>
      </c>
      <c r="C77" s="48">
        <v>500</v>
      </c>
      <c r="D77" s="48">
        <v>0</v>
      </c>
      <c r="E77" s="48">
        <v>0</v>
      </c>
      <c r="F77" s="48">
        <v>0</v>
      </c>
      <c r="G77" s="48">
        <v>0</v>
      </c>
      <c r="H77" s="48">
        <v>0</v>
      </c>
      <c r="I77" s="48">
        <v>0</v>
      </c>
      <c r="J77" s="49">
        <v>0</v>
      </c>
      <c r="K77" s="48">
        <f t="shared" si="12"/>
        <v>30</v>
      </c>
      <c r="L77" s="48">
        <v>0</v>
      </c>
      <c r="M77" s="48">
        <f t="shared" si="13"/>
        <v>500</v>
      </c>
      <c r="N77" s="41">
        <f t="shared" ref="N77:N140" si="34">M77*$N$15</f>
        <v>120</v>
      </c>
      <c r="O77" s="41">
        <f t="shared" ref="O77:O140" si="35">M77*$O$15</f>
        <v>39.583334999999998</v>
      </c>
      <c r="P77" s="41">
        <f t="shared" ref="P77:P140" si="36">M77*$P$15</f>
        <v>33.333334999999998</v>
      </c>
      <c r="Q77" s="41">
        <f t="shared" ref="Q77:Q140" si="37">M77*$Q$15</f>
        <v>39.583334999999998</v>
      </c>
      <c r="R77" s="41">
        <f t="shared" ref="R77:R140" si="38">M77*$R$15</f>
        <v>0</v>
      </c>
      <c r="S77" s="41">
        <f t="shared" ref="S77:S140" si="39">M77*$S$15</f>
        <v>26.25</v>
      </c>
      <c r="T77" s="41">
        <f t="shared" ref="T77:T140" si="40">M77*$T$15</f>
        <v>20</v>
      </c>
      <c r="U77" s="41">
        <f t="shared" ref="U77:U140" si="41">M77*$U$15</f>
        <v>10</v>
      </c>
      <c r="V77" s="41">
        <f t="shared" si="22"/>
        <v>10</v>
      </c>
      <c r="W77" s="41">
        <f t="shared" ref="W77:W140" si="42">M77*$W$15</f>
        <v>20</v>
      </c>
      <c r="X77" s="41">
        <f t="shared" ref="X77:Y140" si="43">M77*$X$15</f>
        <v>0</v>
      </c>
      <c r="Y77" s="41">
        <f t="shared" si="43"/>
        <v>0</v>
      </c>
      <c r="Z77" s="41">
        <f t="shared" ref="Z77:Z140" si="44">M77*$Z$15</f>
        <v>6.25</v>
      </c>
      <c r="AA77" s="41">
        <f t="shared" ref="AA77:AA140" si="45">M77*$AA$15</f>
        <v>0</v>
      </c>
      <c r="AB77" s="41">
        <f t="shared" ref="AB77:AB140" si="46">M77*$AB$15</f>
        <v>25</v>
      </c>
      <c r="AC77" s="41">
        <f t="shared" ref="AC77:AC140" si="47">M77*$AC$15</f>
        <v>25</v>
      </c>
      <c r="AD77" s="41">
        <f t="shared" ref="AD77:AD140" si="48">M77*$AD$15</f>
        <v>25</v>
      </c>
      <c r="AE77" s="41">
        <f t="shared" ref="AE77:AE140" si="49">M77*$AE$15</f>
        <v>100</v>
      </c>
      <c r="AF77" s="41">
        <f t="shared" ref="AF77:AF140" si="50">L77*$AH$15</f>
        <v>0</v>
      </c>
      <c r="AG77" s="41">
        <f t="shared" si="32"/>
        <v>0</v>
      </c>
      <c r="AH77" s="41">
        <f t="shared" ref="AH77:AH140" si="51">M77*$AH$15</f>
        <v>0</v>
      </c>
    </row>
    <row r="78" spans="2:34" ht="15" customHeight="1" x14ac:dyDescent="0.3">
      <c r="B78" s="60" t="s">
        <v>26</v>
      </c>
      <c r="C78" s="48">
        <v>360.42</v>
      </c>
      <c r="D78" s="48">
        <v>0</v>
      </c>
      <c r="E78" s="48">
        <v>0</v>
      </c>
      <c r="F78" s="48">
        <v>0</v>
      </c>
      <c r="G78" s="48">
        <v>0</v>
      </c>
      <c r="H78" s="48">
        <v>0</v>
      </c>
      <c r="I78" s="48">
        <v>0</v>
      </c>
      <c r="J78" s="49">
        <v>0</v>
      </c>
      <c r="K78" s="48">
        <f>(C78+D78+E78)*6%</f>
        <v>21.6252</v>
      </c>
      <c r="L78" s="48">
        <v>0</v>
      </c>
      <c r="M78" s="48">
        <f>C78+D78+E78+F78+G78+H78+J78+L78-I78</f>
        <v>360.42</v>
      </c>
      <c r="N78" s="41">
        <f t="shared" si="34"/>
        <v>86.500799999999998</v>
      </c>
      <c r="O78" s="41">
        <f t="shared" si="35"/>
        <v>28.533251201399999</v>
      </c>
      <c r="P78" s="41">
        <f t="shared" si="36"/>
        <v>24.028001201399999</v>
      </c>
      <c r="Q78" s="41">
        <f t="shared" si="37"/>
        <v>28.533251201399999</v>
      </c>
      <c r="R78" s="41">
        <f t="shared" si="38"/>
        <v>0</v>
      </c>
      <c r="S78" s="41">
        <f t="shared" si="39"/>
        <v>18.922049999999999</v>
      </c>
      <c r="T78" s="41">
        <f t="shared" si="40"/>
        <v>14.4168</v>
      </c>
      <c r="U78" s="41">
        <f t="shared" si="41"/>
        <v>7.2084000000000001</v>
      </c>
      <c r="V78" s="41">
        <f t="shared" ref="V78:V141" si="52">M78*$U$15</f>
        <v>7.2084000000000001</v>
      </c>
      <c r="W78" s="41">
        <f t="shared" si="42"/>
        <v>14.4168</v>
      </c>
      <c r="X78" s="41">
        <f t="shared" si="43"/>
        <v>0</v>
      </c>
      <c r="Y78" s="41">
        <f t="shared" si="43"/>
        <v>0</v>
      </c>
      <c r="Z78" s="41">
        <f t="shared" si="44"/>
        <v>4.5052500000000002</v>
      </c>
      <c r="AA78" s="41">
        <f t="shared" si="45"/>
        <v>0</v>
      </c>
      <c r="AB78" s="41">
        <f t="shared" si="46"/>
        <v>18.021000000000001</v>
      </c>
      <c r="AC78" s="41">
        <f t="shared" si="47"/>
        <v>18.021000000000001</v>
      </c>
      <c r="AD78" s="41">
        <f t="shared" si="48"/>
        <v>18.021000000000001</v>
      </c>
      <c r="AE78" s="41">
        <f t="shared" si="49"/>
        <v>72.084000000000003</v>
      </c>
      <c r="AF78" s="41">
        <f t="shared" si="50"/>
        <v>0</v>
      </c>
      <c r="AG78" s="41">
        <f t="shared" ref="AG78:AG141" si="53">M78*$AG$15</f>
        <v>0</v>
      </c>
      <c r="AH78" s="41">
        <f t="shared" si="51"/>
        <v>0</v>
      </c>
    </row>
    <row r="79" spans="2:34" ht="15" customHeight="1" x14ac:dyDescent="0.3">
      <c r="B79" s="60" t="s">
        <v>27</v>
      </c>
      <c r="C79" s="48">
        <v>600</v>
      </c>
      <c r="D79" s="48">
        <v>0</v>
      </c>
      <c r="E79" s="48">
        <v>0</v>
      </c>
      <c r="F79" s="48">
        <v>0</v>
      </c>
      <c r="G79" s="48">
        <v>0</v>
      </c>
      <c r="H79" s="48">
        <v>0</v>
      </c>
      <c r="I79" s="48">
        <v>0</v>
      </c>
      <c r="J79" s="49">
        <v>0</v>
      </c>
      <c r="K79" s="48">
        <f t="shared" si="12"/>
        <v>36</v>
      </c>
      <c r="L79" s="48">
        <v>0</v>
      </c>
      <c r="M79" s="48">
        <f t="shared" si="13"/>
        <v>600</v>
      </c>
      <c r="N79" s="41">
        <f t="shared" si="34"/>
        <v>144</v>
      </c>
      <c r="O79" s="41">
        <f t="shared" si="35"/>
        <v>47.500001999999995</v>
      </c>
      <c r="P79" s="41">
        <f t="shared" si="36"/>
        <v>40.000001999999995</v>
      </c>
      <c r="Q79" s="41">
        <f t="shared" si="37"/>
        <v>47.500001999999995</v>
      </c>
      <c r="R79" s="41">
        <f t="shared" si="38"/>
        <v>0</v>
      </c>
      <c r="S79" s="41">
        <f t="shared" si="39"/>
        <v>31.5</v>
      </c>
      <c r="T79" s="41">
        <f t="shared" si="40"/>
        <v>24</v>
      </c>
      <c r="U79" s="41">
        <f t="shared" si="41"/>
        <v>12</v>
      </c>
      <c r="V79" s="41">
        <f t="shared" si="52"/>
        <v>12</v>
      </c>
      <c r="W79" s="41">
        <f t="shared" si="42"/>
        <v>24</v>
      </c>
      <c r="X79" s="41">
        <f t="shared" si="43"/>
        <v>0</v>
      </c>
      <c r="Y79" s="41">
        <f t="shared" si="43"/>
        <v>0</v>
      </c>
      <c r="Z79" s="41">
        <f t="shared" si="44"/>
        <v>7.5</v>
      </c>
      <c r="AA79" s="41">
        <f t="shared" si="45"/>
        <v>0</v>
      </c>
      <c r="AB79" s="41">
        <f t="shared" si="46"/>
        <v>30</v>
      </c>
      <c r="AC79" s="41">
        <f t="shared" si="47"/>
        <v>30</v>
      </c>
      <c r="AD79" s="41">
        <f t="shared" si="48"/>
        <v>30</v>
      </c>
      <c r="AE79" s="41">
        <f t="shared" si="49"/>
        <v>120</v>
      </c>
      <c r="AF79" s="41">
        <f t="shared" si="50"/>
        <v>0</v>
      </c>
      <c r="AG79" s="41">
        <f t="shared" si="53"/>
        <v>0</v>
      </c>
      <c r="AH79" s="41">
        <f t="shared" si="51"/>
        <v>0</v>
      </c>
    </row>
    <row r="80" spans="2:34" ht="15" customHeight="1" x14ac:dyDescent="0.3">
      <c r="B80" s="60" t="s">
        <v>162</v>
      </c>
      <c r="C80" s="48">
        <f>301.45</f>
        <v>301.45</v>
      </c>
      <c r="D80" s="48">
        <v>0</v>
      </c>
      <c r="E80" s="48">
        <v>0</v>
      </c>
      <c r="F80" s="48">
        <v>0</v>
      </c>
      <c r="G80" s="48">
        <v>0</v>
      </c>
      <c r="H80" s="48">
        <v>0</v>
      </c>
      <c r="I80" s="48">
        <v>0</v>
      </c>
      <c r="J80" s="49">
        <v>0</v>
      </c>
      <c r="K80" s="48">
        <f t="shared" si="12"/>
        <v>18.087</v>
      </c>
      <c r="L80" s="48">
        <v>0</v>
      </c>
      <c r="M80" s="48">
        <f t="shared" si="13"/>
        <v>301.45</v>
      </c>
      <c r="N80" s="41">
        <f t="shared" si="34"/>
        <v>72.347999999999999</v>
      </c>
      <c r="O80" s="41">
        <f t="shared" si="35"/>
        <v>23.864792671499998</v>
      </c>
      <c r="P80" s="41">
        <f t="shared" si="36"/>
        <v>20.096667671499997</v>
      </c>
      <c r="Q80" s="41">
        <f t="shared" si="37"/>
        <v>23.864792671499998</v>
      </c>
      <c r="R80" s="41">
        <f t="shared" si="38"/>
        <v>0</v>
      </c>
      <c r="S80" s="41">
        <f t="shared" si="39"/>
        <v>15.826124999999999</v>
      </c>
      <c r="T80" s="41">
        <f t="shared" si="40"/>
        <v>12.058</v>
      </c>
      <c r="U80" s="41">
        <f t="shared" si="41"/>
        <v>6.0289999999999999</v>
      </c>
      <c r="V80" s="41">
        <f t="shared" si="52"/>
        <v>6.0289999999999999</v>
      </c>
      <c r="W80" s="41">
        <f t="shared" si="42"/>
        <v>12.058</v>
      </c>
      <c r="X80" s="41">
        <f t="shared" si="43"/>
        <v>0</v>
      </c>
      <c r="Y80" s="41">
        <f t="shared" si="43"/>
        <v>0</v>
      </c>
      <c r="Z80" s="41">
        <f t="shared" si="44"/>
        <v>3.7681249999999999</v>
      </c>
      <c r="AA80" s="41">
        <f t="shared" si="45"/>
        <v>0</v>
      </c>
      <c r="AB80" s="41">
        <f t="shared" si="46"/>
        <v>15.0725</v>
      </c>
      <c r="AC80" s="41">
        <f t="shared" si="47"/>
        <v>15.0725</v>
      </c>
      <c r="AD80" s="41">
        <f t="shared" si="48"/>
        <v>15.0725</v>
      </c>
      <c r="AE80" s="41">
        <f t="shared" si="49"/>
        <v>60.29</v>
      </c>
      <c r="AF80" s="41">
        <f t="shared" si="50"/>
        <v>0</v>
      </c>
      <c r="AG80" s="41">
        <f t="shared" si="53"/>
        <v>0</v>
      </c>
      <c r="AH80" s="41">
        <f t="shared" si="51"/>
        <v>0</v>
      </c>
    </row>
    <row r="81" spans="2:34" ht="15" customHeight="1" x14ac:dyDescent="0.3">
      <c r="B81" s="60" t="s">
        <v>163</v>
      </c>
      <c r="C81" s="48">
        <v>345.92</v>
      </c>
      <c r="D81" s="48">
        <v>0</v>
      </c>
      <c r="E81" s="48">
        <v>0</v>
      </c>
      <c r="F81" s="48">
        <v>0</v>
      </c>
      <c r="G81" s="48">
        <v>0</v>
      </c>
      <c r="H81" s="48">
        <v>0</v>
      </c>
      <c r="I81" s="48">
        <v>0</v>
      </c>
      <c r="J81" s="49">
        <v>0</v>
      </c>
      <c r="K81" s="48">
        <f t="shared" ref="K81:K144" si="54">(C81+D81+E81)*6%</f>
        <v>20.755199999999999</v>
      </c>
      <c r="L81" s="48">
        <v>0</v>
      </c>
      <c r="M81" s="48">
        <f t="shared" ref="M81:M144" si="55">C81+D81+E81+F81+G81+H81+J81+L81-I81</f>
        <v>345.92</v>
      </c>
      <c r="N81" s="41">
        <f t="shared" si="34"/>
        <v>83.020799999999994</v>
      </c>
      <c r="O81" s="41">
        <f t="shared" si="35"/>
        <v>27.385334486399998</v>
      </c>
      <c r="P81" s="41">
        <f t="shared" si="36"/>
        <v>23.0613344864</v>
      </c>
      <c r="Q81" s="41">
        <f t="shared" si="37"/>
        <v>27.385334486399998</v>
      </c>
      <c r="R81" s="41">
        <f t="shared" si="38"/>
        <v>0</v>
      </c>
      <c r="S81" s="41">
        <f t="shared" si="39"/>
        <v>18.160800000000002</v>
      </c>
      <c r="T81" s="41">
        <f t="shared" si="40"/>
        <v>13.8368</v>
      </c>
      <c r="U81" s="41">
        <f t="shared" si="41"/>
        <v>6.9184000000000001</v>
      </c>
      <c r="V81" s="41">
        <f t="shared" si="52"/>
        <v>6.9184000000000001</v>
      </c>
      <c r="W81" s="41">
        <f t="shared" si="42"/>
        <v>13.8368</v>
      </c>
      <c r="X81" s="41">
        <f t="shared" si="43"/>
        <v>0</v>
      </c>
      <c r="Y81" s="41">
        <f t="shared" si="43"/>
        <v>0</v>
      </c>
      <c r="Z81" s="41">
        <f t="shared" si="44"/>
        <v>4.3240000000000007</v>
      </c>
      <c r="AA81" s="41">
        <f t="shared" si="45"/>
        <v>0</v>
      </c>
      <c r="AB81" s="41">
        <f t="shared" si="46"/>
        <v>17.296000000000003</v>
      </c>
      <c r="AC81" s="41">
        <f t="shared" si="47"/>
        <v>17.296000000000003</v>
      </c>
      <c r="AD81" s="41">
        <f t="shared" si="48"/>
        <v>17.296000000000003</v>
      </c>
      <c r="AE81" s="41">
        <f t="shared" si="49"/>
        <v>69.184000000000012</v>
      </c>
      <c r="AF81" s="41">
        <f t="shared" si="50"/>
        <v>0</v>
      </c>
      <c r="AG81" s="41">
        <f t="shared" si="53"/>
        <v>0</v>
      </c>
      <c r="AH81" s="41">
        <f t="shared" si="51"/>
        <v>0</v>
      </c>
    </row>
    <row r="82" spans="2:34" ht="15" customHeight="1" x14ac:dyDescent="0.3">
      <c r="B82" s="60" t="s">
        <v>28</v>
      </c>
      <c r="C82" s="48">
        <v>473.39</v>
      </c>
      <c r="D82" s="48">
        <v>0</v>
      </c>
      <c r="E82" s="48">
        <v>0</v>
      </c>
      <c r="F82" s="48">
        <v>0</v>
      </c>
      <c r="G82" s="48">
        <v>0</v>
      </c>
      <c r="H82" s="48">
        <v>0</v>
      </c>
      <c r="I82" s="48">
        <v>0</v>
      </c>
      <c r="J82" s="49">
        <v>0</v>
      </c>
      <c r="K82" s="48">
        <f t="shared" si="54"/>
        <v>28.403399999999998</v>
      </c>
      <c r="L82" s="48">
        <v>0</v>
      </c>
      <c r="M82" s="48">
        <f t="shared" si="55"/>
        <v>473.39</v>
      </c>
      <c r="N82" s="41">
        <f t="shared" si="34"/>
        <v>113.61359999999999</v>
      </c>
      <c r="O82" s="41">
        <f t="shared" si="35"/>
        <v>37.476709911299999</v>
      </c>
      <c r="P82" s="41">
        <f t="shared" si="36"/>
        <v>31.559334911299999</v>
      </c>
      <c r="Q82" s="41">
        <f t="shared" si="37"/>
        <v>37.476709911299999</v>
      </c>
      <c r="R82" s="41">
        <f t="shared" si="38"/>
        <v>0</v>
      </c>
      <c r="S82" s="41">
        <f t="shared" si="39"/>
        <v>24.852974999999997</v>
      </c>
      <c r="T82" s="41">
        <f t="shared" si="40"/>
        <v>18.935600000000001</v>
      </c>
      <c r="U82" s="41">
        <f t="shared" si="41"/>
        <v>9.4678000000000004</v>
      </c>
      <c r="V82" s="41">
        <f t="shared" si="52"/>
        <v>9.4678000000000004</v>
      </c>
      <c r="W82" s="41">
        <f t="shared" si="42"/>
        <v>18.935600000000001</v>
      </c>
      <c r="X82" s="41">
        <f t="shared" si="43"/>
        <v>0</v>
      </c>
      <c r="Y82" s="41">
        <f t="shared" si="43"/>
        <v>0</v>
      </c>
      <c r="Z82" s="41">
        <f t="shared" si="44"/>
        <v>5.9173749999999998</v>
      </c>
      <c r="AA82" s="41">
        <f t="shared" si="45"/>
        <v>0</v>
      </c>
      <c r="AB82" s="41">
        <f t="shared" si="46"/>
        <v>23.669499999999999</v>
      </c>
      <c r="AC82" s="41">
        <f t="shared" si="47"/>
        <v>23.669499999999999</v>
      </c>
      <c r="AD82" s="41">
        <f t="shared" si="48"/>
        <v>23.669499999999999</v>
      </c>
      <c r="AE82" s="41">
        <f t="shared" si="49"/>
        <v>94.677999999999997</v>
      </c>
      <c r="AF82" s="41">
        <f t="shared" si="50"/>
        <v>0</v>
      </c>
      <c r="AG82" s="41">
        <f t="shared" si="53"/>
        <v>0</v>
      </c>
      <c r="AH82" s="41">
        <f t="shared" si="51"/>
        <v>0</v>
      </c>
    </row>
    <row r="83" spans="2:34" ht="15" customHeight="1" x14ac:dyDescent="0.3">
      <c r="B83" s="60" t="s">
        <v>164</v>
      </c>
      <c r="C83" s="48">
        <v>400</v>
      </c>
      <c r="D83" s="48">
        <v>0</v>
      </c>
      <c r="E83" s="48">
        <v>0</v>
      </c>
      <c r="F83" s="48">
        <v>0</v>
      </c>
      <c r="G83" s="48">
        <v>0</v>
      </c>
      <c r="H83" s="48">
        <v>0</v>
      </c>
      <c r="I83" s="48">
        <v>0</v>
      </c>
      <c r="J83" s="49">
        <v>0</v>
      </c>
      <c r="K83" s="48">
        <f t="shared" si="54"/>
        <v>24</v>
      </c>
      <c r="L83" s="48">
        <v>0</v>
      </c>
      <c r="M83" s="48">
        <f t="shared" si="55"/>
        <v>400</v>
      </c>
      <c r="N83" s="41">
        <f t="shared" si="34"/>
        <v>96</v>
      </c>
      <c r="O83" s="41">
        <f t="shared" si="35"/>
        <v>31.666667999999998</v>
      </c>
      <c r="P83" s="41">
        <f t="shared" si="36"/>
        <v>26.666667999999998</v>
      </c>
      <c r="Q83" s="41">
        <f t="shared" si="37"/>
        <v>31.666667999999998</v>
      </c>
      <c r="R83" s="41">
        <f t="shared" si="38"/>
        <v>0</v>
      </c>
      <c r="S83" s="41">
        <f t="shared" si="39"/>
        <v>21</v>
      </c>
      <c r="T83" s="41">
        <f t="shared" si="40"/>
        <v>16</v>
      </c>
      <c r="U83" s="41">
        <f t="shared" si="41"/>
        <v>8</v>
      </c>
      <c r="V83" s="41">
        <f t="shared" si="52"/>
        <v>8</v>
      </c>
      <c r="W83" s="41">
        <f t="shared" si="42"/>
        <v>16</v>
      </c>
      <c r="X83" s="41">
        <f t="shared" si="43"/>
        <v>0</v>
      </c>
      <c r="Y83" s="41">
        <f t="shared" si="43"/>
        <v>0</v>
      </c>
      <c r="Z83" s="41">
        <f t="shared" si="44"/>
        <v>5</v>
      </c>
      <c r="AA83" s="41">
        <f t="shared" si="45"/>
        <v>0</v>
      </c>
      <c r="AB83" s="41">
        <f t="shared" si="46"/>
        <v>20</v>
      </c>
      <c r="AC83" s="41">
        <f t="shared" si="47"/>
        <v>20</v>
      </c>
      <c r="AD83" s="41">
        <f t="shared" si="48"/>
        <v>20</v>
      </c>
      <c r="AE83" s="41">
        <f t="shared" si="49"/>
        <v>80</v>
      </c>
      <c r="AF83" s="41">
        <f t="shared" si="50"/>
        <v>0</v>
      </c>
      <c r="AG83" s="41">
        <f t="shared" si="53"/>
        <v>0</v>
      </c>
      <c r="AH83" s="41">
        <f t="shared" si="51"/>
        <v>0</v>
      </c>
    </row>
    <row r="84" spans="2:34" ht="15" customHeight="1" x14ac:dyDescent="0.3">
      <c r="B84" s="60" t="s">
        <v>29</v>
      </c>
      <c r="C84" s="48">
        <f>651.91</f>
        <v>651.91</v>
      </c>
      <c r="D84" s="48">
        <v>0</v>
      </c>
      <c r="E84" s="48">
        <v>0</v>
      </c>
      <c r="F84" s="48">
        <v>0</v>
      </c>
      <c r="G84" s="48">
        <v>0</v>
      </c>
      <c r="H84" s="48">
        <v>0</v>
      </c>
      <c r="I84" s="48">
        <v>0</v>
      </c>
      <c r="J84" s="49">
        <v>0</v>
      </c>
      <c r="K84" s="48">
        <f t="shared" si="54"/>
        <v>39.114599999999996</v>
      </c>
      <c r="L84" s="48">
        <v>0</v>
      </c>
      <c r="M84" s="48">
        <f t="shared" si="55"/>
        <v>651.91</v>
      </c>
      <c r="N84" s="41">
        <f t="shared" si="34"/>
        <v>156.45839999999998</v>
      </c>
      <c r="O84" s="41">
        <f t="shared" si="35"/>
        <v>51.609543839699995</v>
      </c>
      <c r="P84" s="41">
        <f t="shared" si="36"/>
        <v>43.460668839699999</v>
      </c>
      <c r="Q84" s="41">
        <f t="shared" si="37"/>
        <v>51.609543839699995</v>
      </c>
      <c r="R84" s="41">
        <f t="shared" si="38"/>
        <v>0</v>
      </c>
      <c r="S84" s="41">
        <f t="shared" si="39"/>
        <v>34.225274999999996</v>
      </c>
      <c r="T84" s="41">
        <f t="shared" si="40"/>
        <v>26.0764</v>
      </c>
      <c r="U84" s="41">
        <f t="shared" si="41"/>
        <v>13.0382</v>
      </c>
      <c r="V84" s="41">
        <f t="shared" si="52"/>
        <v>13.0382</v>
      </c>
      <c r="W84" s="41">
        <f t="shared" si="42"/>
        <v>26.0764</v>
      </c>
      <c r="X84" s="41">
        <f t="shared" si="43"/>
        <v>0</v>
      </c>
      <c r="Y84" s="41">
        <f t="shared" si="43"/>
        <v>0</v>
      </c>
      <c r="Z84" s="41">
        <f t="shared" si="44"/>
        <v>8.1488750000000003</v>
      </c>
      <c r="AA84" s="41">
        <f t="shared" si="45"/>
        <v>0</v>
      </c>
      <c r="AB84" s="41">
        <f t="shared" si="46"/>
        <v>32.595500000000001</v>
      </c>
      <c r="AC84" s="41">
        <f t="shared" si="47"/>
        <v>32.595500000000001</v>
      </c>
      <c r="AD84" s="41">
        <f t="shared" si="48"/>
        <v>32.595500000000001</v>
      </c>
      <c r="AE84" s="41">
        <f t="shared" si="49"/>
        <v>130.38200000000001</v>
      </c>
      <c r="AF84" s="41">
        <f t="shared" si="50"/>
        <v>0</v>
      </c>
      <c r="AG84" s="41">
        <f t="shared" si="53"/>
        <v>0</v>
      </c>
      <c r="AH84" s="41">
        <f t="shared" si="51"/>
        <v>0</v>
      </c>
    </row>
    <row r="85" spans="2:34" ht="15" customHeight="1" x14ac:dyDescent="0.3">
      <c r="B85" s="60" t="s">
        <v>165</v>
      </c>
      <c r="C85" s="48">
        <v>325.99</v>
      </c>
      <c r="D85" s="48">
        <v>0</v>
      </c>
      <c r="E85" s="48">
        <v>0</v>
      </c>
      <c r="F85" s="48">
        <v>0</v>
      </c>
      <c r="G85" s="48">
        <v>0</v>
      </c>
      <c r="H85" s="48">
        <v>0</v>
      </c>
      <c r="I85" s="48">
        <v>0</v>
      </c>
      <c r="J85" s="49">
        <v>0</v>
      </c>
      <c r="K85" s="48">
        <f t="shared" si="54"/>
        <v>19.5594</v>
      </c>
      <c r="L85" s="48">
        <v>0</v>
      </c>
      <c r="M85" s="48">
        <f t="shared" si="55"/>
        <v>325.99</v>
      </c>
      <c r="N85" s="41">
        <f t="shared" si="34"/>
        <v>78.2376</v>
      </c>
      <c r="O85" s="41">
        <f t="shared" si="35"/>
        <v>25.807542753299998</v>
      </c>
      <c r="P85" s="41">
        <f t="shared" si="36"/>
        <v>21.732667753299999</v>
      </c>
      <c r="Q85" s="41">
        <f t="shared" si="37"/>
        <v>25.807542753299998</v>
      </c>
      <c r="R85" s="41">
        <f t="shared" si="38"/>
        <v>0</v>
      </c>
      <c r="S85" s="41">
        <f t="shared" si="39"/>
        <v>17.114474999999999</v>
      </c>
      <c r="T85" s="41">
        <f t="shared" si="40"/>
        <v>13.0396</v>
      </c>
      <c r="U85" s="41">
        <f t="shared" si="41"/>
        <v>6.5198</v>
      </c>
      <c r="V85" s="41">
        <f t="shared" si="52"/>
        <v>6.5198</v>
      </c>
      <c r="W85" s="41">
        <f t="shared" si="42"/>
        <v>13.0396</v>
      </c>
      <c r="X85" s="41">
        <f t="shared" si="43"/>
        <v>0</v>
      </c>
      <c r="Y85" s="41">
        <f t="shared" si="43"/>
        <v>0</v>
      </c>
      <c r="Z85" s="41">
        <f t="shared" si="44"/>
        <v>4.0748750000000005</v>
      </c>
      <c r="AA85" s="41">
        <f t="shared" si="45"/>
        <v>0</v>
      </c>
      <c r="AB85" s="41">
        <f t="shared" si="46"/>
        <v>16.299500000000002</v>
      </c>
      <c r="AC85" s="41">
        <f t="shared" si="47"/>
        <v>16.299500000000002</v>
      </c>
      <c r="AD85" s="41">
        <f t="shared" si="48"/>
        <v>16.299500000000002</v>
      </c>
      <c r="AE85" s="41">
        <f t="shared" si="49"/>
        <v>65.198000000000008</v>
      </c>
      <c r="AF85" s="41">
        <f t="shared" si="50"/>
        <v>0</v>
      </c>
      <c r="AG85" s="41">
        <f t="shared" si="53"/>
        <v>0</v>
      </c>
      <c r="AH85" s="41">
        <f t="shared" si="51"/>
        <v>0</v>
      </c>
    </row>
    <row r="86" spans="2:34" ht="15" customHeight="1" x14ac:dyDescent="0.3">
      <c r="B86" s="60" t="s">
        <v>30</v>
      </c>
      <c r="C86" s="48">
        <v>658.93</v>
      </c>
      <c r="D86" s="48">
        <v>0</v>
      </c>
      <c r="E86" s="48">
        <v>0</v>
      </c>
      <c r="F86" s="48">
        <v>0</v>
      </c>
      <c r="G86" s="48">
        <v>0</v>
      </c>
      <c r="H86" s="48">
        <v>0</v>
      </c>
      <c r="I86" s="48">
        <v>0</v>
      </c>
      <c r="J86" s="49">
        <v>0</v>
      </c>
      <c r="K86" s="48">
        <f t="shared" si="54"/>
        <v>39.535799999999995</v>
      </c>
      <c r="L86" s="48">
        <v>0</v>
      </c>
      <c r="M86" s="48">
        <f t="shared" si="55"/>
        <v>658.93</v>
      </c>
      <c r="N86" s="41">
        <f t="shared" si="34"/>
        <v>158.14319999999998</v>
      </c>
      <c r="O86" s="41">
        <f t="shared" si="35"/>
        <v>52.16529386309999</v>
      </c>
      <c r="P86" s="41">
        <f t="shared" si="36"/>
        <v>43.928668863099993</v>
      </c>
      <c r="Q86" s="41">
        <f t="shared" si="37"/>
        <v>52.16529386309999</v>
      </c>
      <c r="R86" s="41">
        <f t="shared" si="38"/>
        <v>0</v>
      </c>
      <c r="S86" s="41">
        <f t="shared" si="39"/>
        <v>34.593824999999995</v>
      </c>
      <c r="T86" s="41">
        <f t="shared" si="40"/>
        <v>26.357199999999999</v>
      </c>
      <c r="U86" s="41">
        <f t="shared" si="41"/>
        <v>13.178599999999999</v>
      </c>
      <c r="V86" s="41">
        <f t="shared" si="52"/>
        <v>13.178599999999999</v>
      </c>
      <c r="W86" s="41">
        <f t="shared" si="42"/>
        <v>26.357199999999999</v>
      </c>
      <c r="X86" s="41">
        <f t="shared" si="43"/>
        <v>0</v>
      </c>
      <c r="Y86" s="41">
        <f t="shared" si="43"/>
        <v>0</v>
      </c>
      <c r="Z86" s="41">
        <f t="shared" si="44"/>
        <v>8.2366250000000001</v>
      </c>
      <c r="AA86" s="41">
        <f t="shared" si="45"/>
        <v>0</v>
      </c>
      <c r="AB86" s="41">
        <f t="shared" si="46"/>
        <v>32.9465</v>
      </c>
      <c r="AC86" s="41">
        <f t="shared" si="47"/>
        <v>32.9465</v>
      </c>
      <c r="AD86" s="41">
        <f t="shared" si="48"/>
        <v>32.9465</v>
      </c>
      <c r="AE86" s="41">
        <f t="shared" si="49"/>
        <v>131.786</v>
      </c>
      <c r="AF86" s="41">
        <f t="shared" si="50"/>
        <v>0</v>
      </c>
      <c r="AG86" s="41">
        <f t="shared" si="53"/>
        <v>0</v>
      </c>
      <c r="AH86" s="41">
        <f t="shared" si="51"/>
        <v>0</v>
      </c>
    </row>
    <row r="87" spans="2:34" ht="15" customHeight="1" x14ac:dyDescent="0.3">
      <c r="B87" s="60" t="s">
        <v>166</v>
      </c>
      <c r="C87" s="48">
        <v>452.19</v>
      </c>
      <c r="D87" s="48">
        <v>0</v>
      </c>
      <c r="E87" s="48">
        <v>0</v>
      </c>
      <c r="F87" s="48">
        <v>0</v>
      </c>
      <c r="G87" s="48">
        <v>0</v>
      </c>
      <c r="H87" s="48">
        <v>0</v>
      </c>
      <c r="I87" s="48">
        <v>0</v>
      </c>
      <c r="J87" s="49">
        <v>0</v>
      </c>
      <c r="K87" s="48">
        <f t="shared" si="54"/>
        <v>27.131399999999999</v>
      </c>
      <c r="L87" s="48">
        <v>0</v>
      </c>
      <c r="M87" s="48">
        <f t="shared" si="55"/>
        <v>452.19</v>
      </c>
      <c r="N87" s="41">
        <f t="shared" si="34"/>
        <v>108.5256</v>
      </c>
      <c r="O87" s="41">
        <f t="shared" si="35"/>
        <v>35.798376507299999</v>
      </c>
      <c r="P87" s="41">
        <f t="shared" si="36"/>
        <v>30.146001507299999</v>
      </c>
      <c r="Q87" s="41">
        <f t="shared" si="37"/>
        <v>35.798376507299999</v>
      </c>
      <c r="R87" s="41">
        <f t="shared" si="38"/>
        <v>0</v>
      </c>
      <c r="S87" s="41">
        <f t="shared" si="39"/>
        <v>23.739974999999998</v>
      </c>
      <c r="T87" s="41">
        <f t="shared" si="40"/>
        <v>18.087600000000002</v>
      </c>
      <c r="U87" s="41">
        <f t="shared" si="41"/>
        <v>9.0438000000000009</v>
      </c>
      <c r="V87" s="41">
        <f t="shared" si="52"/>
        <v>9.0438000000000009</v>
      </c>
      <c r="W87" s="41">
        <f t="shared" si="42"/>
        <v>18.087600000000002</v>
      </c>
      <c r="X87" s="41">
        <f t="shared" si="43"/>
        <v>0</v>
      </c>
      <c r="Y87" s="41">
        <f t="shared" si="43"/>
        <v>0</v>
      </c>
      <c r="Z87" s="41">
        <f t="shared" si="44"/>
        <v>5.6523750000000001</v>
      </c>
      <c r="AA87" s="41">
        <f t="shared" si="45"/>
        <v>0</v>
      </c>
      <c r="AB87" s="41">
        <f t="shared" si="46"/>
        <v>22.609500000000001</v>
      </c>
      <c r="AC87" s="41">
        <f t="shared" si="47"/>
        <v>22.609500000000001</v>
      </c>
      <c r="AD87" s="41">
        <f t="shared" si="48"/>
        <v>22.609500000000001</v>
      </c>
      <c r="AE87" s="41">
        <f t="shared" si="49"/>
        <v>90.438000000000002</v>
      </c>
      <c r="AF87" s="41">
        <f t="shared" si="50"/>
        <v>0</v>
      </c>
      <c r="AG87" s="41">
        <f t="shared" si="53"/>
        <v>0</v>
      </c>
      <c r="AH87" s="41">
        <f t="shared" si="51"/>
        <v>0</v>
      </c>
    </row>
    <row r="88" spans="2:34" ht="15" customHeight="1" x14ac:dyDescent="0.3">
      <c r="B88" s="60" t="s">
        <v>167</v>
      </c>
      <c r="C88" s="48">
        <v>476.29</v>
      </c>
      <c r="D88" s="48">
        <v>0</v>
      </c>
      <c r="E88" s="48">
        <v>0</v>
      </c>
      <c r="F88" s="48">
        <v>0</v>
      </c>
      <c r="G88" s="48">
        <v>0</v>
      </c>
      <c r="H88" s="48">
        <v>0</v>
      </c>
      <c r="I88" s="48">
        <v>0</v>
      </c>
      <c r="J88" s="49">
        <v>0</v>
      </c>
      <c r="K88" s="48">
        <f t="shared" si="54"/>
        <v>28.577400000000001</v>
      </c>
      <c r="L88" s="48">
        <v>0</v>
      </c>
      <c r="M88" s="48">
        <f t="shared" si="55"/>
        <v>476.29</v>
      </c>
      <c r="N88" s="41">
        <f t="shared" si="34"/>
        <v>114.3096</v>
      </c>
      <c r="O88" s="41">
        <f t="shared" si="35"/>
        <v>37.7062932543</v>
      </c>
      <c r="P88" s="41">
        <f t="shared" si="36"/>
        <v>31.752668254300001</v>
      </c>
      <c r="Q88" s="41">
        <f t="shared" si="37"/>
        <v>37.7062932543</v>
      </c>
      <c r="R88" s="41">
        <f t="shared" si="38"/>
        <v>0</v>
      </c>
      <c r="S88" s="41">
        <f t="shared" si="39"/>
        <v>25.005224999999999</v>
      </c>
      <c r="T88" s="41">
        <f t="shared" si="40"/>
        <v>19.051600000000001</v>
      </c>
      <c r="U88" s="41">
        <f t="shared" si="41"/>
        <v>9.5258000000000003</v>
      </c>
      <c r="V88" s="41">
        <f t="shared" si="52"/>
        <v>9.5258000000000003</v>
      </c>
      <c r="W88" s="41">
        <f t="shared" si="42"/>
        <v>19.051600000000001</v>
      </c>
      <c r="X88" s="41">
        <f t="shared" si="43"/>
        <v>0</v>
      </c>
      <c r="Y88" s="41">
        <f t="shared" si="43"/>
        <v>0</v>
      </c>
      <c r="Z88" s="41">
        <f t="shared" si="44"/>
        <v>5.9536250000000006</v>
      </c>
      <c r="AA88" s="41">
        <f t="shared" si="45"/>
        <v>0</v>
      </c>
      <c r="AB88" s="41">
        <f t="shared" si="46"/>
        <v>23.814500000000002</v>
      </c>
      <c r="AC88" s="41">
        <f t="shared" si="47"/>
        <v>23.814500000000002</v>
      </c>
      <c r="AD88" s="41">
        <f t="shared" si="48"/>
        <v>23.814500000000002</v>
      </c>
      <c r="AE88" s="41">
        <f t="shared" si="49"/>
        <v>95.25800000000001</v>
      </c>
      <c r="AF88" s="41">
        <f t="shared" si="50"/>
        <v>0</v>
      </c>
      <c r="AG88" s="41">
        <f t="shared" si="53"/>
        <v>0</v>
      </c>
      <c r="AH88" s="41">
        <f t="shared" si="51"/>
        <v>0</v>
      </c>
    </row>
    <row r="89" spans="2:34" ht="15" customHeight="1" x14ac:dyDescent="0.3">
      <c r="B89" s="60" t="s">
        <v>168</v>
      </c>
      <c r="C89" s="48">
        <v>550</v>
      </c>
      <c r="D89" s="48">
        <v>0</v>
      </c>
      <c r="E89" s="48">
        <v>0</v>
      </c>
      <c r="F89" s="48">
        <v>0</v>
      </c>
      <c r="G89" s="48">
        <v>0</v>
      </c>
      <c r="H89" s="48">
        <v>0</v>
      </c>
      <c r="I89" s="48">
        <v>0</v>
      </c>
      <c r="J89" s="49">
        <v>0</v>
      </c>
      <c r="K89" s="48">
        <f t="shared" si="54"/>
        <v>33</v>
      </c>
      <c r="L89" s="48">
        <v>0</v>
      </c>
      <c r="M89" s="48">
        <f t="shared" si="55"/>
        <v>550</v>
      </c>
      <c r="N89" s="41">
        <f t="shared" si="34"/>
        <v>132</v>
      </c>
      <c r="O89" s="41">
        <f t="shared" si="35"/>
        <v>43.5416685</v>
      </c>
      <c r="P89" s="41">
        <f t="shared" si="36"/>
        <v>36.6666685</v>
      </c>
      <c r="Q89" s="41">
        <f t="shared" si="37"/>
        <v>43.5416685</v>
      </c>
      <c r="R89" s="41">
        <f t="shared" si="38"/>
        <v>0</v>
      </c>
      <c r="S89" s="41">
        <f t="shared" si="39"/>
        <v>28.875</v>
      </c>
      <c r="T89" s="41">
        <f t="shared" si="40"/>
        <v>22</v>
      </c>
      <c r="U89" s="41">
        <f t="shared" si="41"/>
        <v>11</v>
      </c>
      <c r="V89" s="41">
        <f t="shared" si="52"/>
        <v>11</v>
      </c>
      <c r="W89" s="41">
        <f t="shared" si="42"/>
        <v>22</v>
      </c>
      <c r="X89" s="41">
        <f t="shared" si="43"/>
        <v>0</v>
      </c>
      <c r="Y89" s="41">
        <f t="shared" si="43"/>
        <v>0</v>
      </c>
      <c r="Z89" s="41">
        <f t="shared" si="44"/>
        <v>6.875</v>
      </c>
      <c r="AA89" s="41">
        <f t="shared" si="45"/>
        <v>0</v>
      </c>
      <c r="AB89" s="41">
        <f t="shared" si="46"/>
        <v>27.5</v>
      </c>
      <c r="AC89" s="41">
        <f t="shared" si="47"/>
        <v>27.5</v>
      </c>
      <c r="AD89" s="41">
        <f t="shared" si="48"/>
        <v>27.5</v>
      </c>
      <c r="AE89" s="41">
        <f t="shared" si="49"/>
        <v>110</v>
      </c>
      <c r="AF89" s="41">
        <f t="shared" si="50"/>
        <v>0</v>
      </c>
      <c r="AG89" s="41">
        <f t="shared" si="53"/>
        <v>0</v>
      </c>
      <c r="AH89" s="41">
        <f t="shared" si="51"/>
        <v>0</v>
      </c>
    </row>
    <row r="90" spans="2:34" ht="15" customHeight="1" x14ac:dyDescent="0.3">
      <c r="B90" s="60" t="s">
        <v>169</v>
      </c>
      <c r="C90" s="48">
        <v>0</v>
      </c>
      <c r="D90" s="48">
        <v>0</v>
      </c>
      <c r="E90" s="48">
        <v>0</v>
      </c>
      <c r="F90" s="48">
        <v>0</v>
      </c>
      <c r="G90" s="48">
        <v>0</v>
      </c>
      <c r="H90" s="48">
        <v>0</v>
      </c>
      <c r="I90" s="48">
        <v>0</v>
      </c>
      <c r="J90" s="49">
        <v>0</v>
      </c>
      <c r="K90" s="48">
        <f t="shared" si="54"/>
        <v>0</v>
      </c>
      <c r="L90" s="48">
        <v>0</v>
      </c>
      <c r="M90" s="48">
        <f t="shared" si="55"/>
        <v>0</v>
      </c>
      <c r="N90" s="41">
        <f t="shared" si="34"/>
        <v>0</v>
      </c>
      <c r="O90" s="41">
        <f t="shared" si="35"/>
        <v>0</v>
      </c>
      <c r="P90" s="41">
        <f t="shared" si="36"/>
        <v>0</v>
      </c>
      <c r="Q90" s="41">
        <f t="shared" si="37"/>
        <v>0</v>
      </c>
      <c r="R90" s="41">
        <f t="shared" si="38"/>
        <v>0</v>
      </c>
      <c r="S90" s="41">
        <f t="shared" si="39"/>
        <v>0</v>
      </c>
      <c r="T90" s="41">
        <f t="shared" si="40"/>
        <v>0</v>
      </c>
      <c r="U90" s="41">
        <f t="shared" si="41"/>
        <v>0</v>
      </c>
      <c r="V90" s="41">
        <f t="shared" si="52"/>
        <v>0</v>
      </c>
      <c r="W90" s="41">
        <f t="shared" si="42"/>
        <v>0</v>
      </c>
      <c r="X90" s="41">
        <f t="shared" si="43"/>
        <v>0</v>
      </c>
      <c r="Y90" s="41">
        <f t="shared" si="43"/>
        <v>0</v>
      </c>
      <c r="Z90" s="41">
        <f t="shared" si="44"/>
        <v>0</v>
      </c>
      <c r="AA90" s="41">
        <f t="shared" si="45"/>
        <v>0</v>
      </c>
      <c r="AB90" s="41">
        <f t="shared" si="46"/>
        <v>0</v>
      </c>
      <c r="AC90" s="41">
        <f t="shared" si="47"/>
        <v>0</v>
      </c>
      <c r="AD90" s="41">
        <f t="shared" si="48"/>
        <v>0</v>
      </c>
      <c r="AE90" s="41">
        <f t="shared" si="49"/>
        <v>0</v>
      </c>
      <c r="AF90" s="41">
        <f t="shared" si="50"/>
        <v>0</v>
      </c>
      <c r="AG90" s="41">
        <f t="shared" si="53"/>
        <v>0</v>
      </c>
      <c r="AH90" s="41">
        <f t="shared" si="51"/>
        <v>0</v>
      </c>
    </row>
    <row r="91" spans="2:34" ht="15" customHeight="1" x14ac:dyDescent="0.3">
      <c r="B91" s="60" t="s">
        <v>323</v>
      </c>
      <c r="C91" s="48">
        <v>0</v>
      </c>
      <c r="D91" s="48">
        <v>0</v>
      </c>
      <c r="E91" s="48">
        <v>0</v>
      </c>
      <c r="F91" s="48">
        <v>0</v>
      </c>
      <c r="G91" s="48">
        <v>0</v>
      </c>
      <c r="H91" s="48">
        <v>0</v>
      </c>
      <c r="I91" s="48">
        <v>0</v>
      </c>
      <c r="J91" s="49">
        <v>0</v>
      </c>
      <c r="K91" s="48">
        <f t="shared" si="54"/>
        <v>0</v>
      </c>
      <c r="L91" s="48">
        <v>0</v>
      </c>
      <c r="M91" s="48">
        <f t="shared" si="55"/>
        <v>0</v>
      </c>
      <c r="N91" s="41">
        <f t="shared" si="34"/>
        <v>0</v>
      </c>
      <c r="O91" s="41">
        <f t="shared" si="35"/>
        <v>0</v>
      </c>
      <c r="P91" s="41">
        <f t="shared" si="36"/>
        <v>0</v>
      </c>
      <c r="Q91" s="41">
        <f t="shared" si="37"/>
        <v>0</v>
      </c>
      <c r="R91" s="41">
        <f t="shared" si="38"/>
        <v>0</v>
      </c>
      <c r="S91" s="41">
        <f t="shared" si="39"/>
        <v>0</v>
      </c>
      <c r="T91" s="41">
        <f t="shared" si="40"/>
        <v>0</v>
      </c>
      <c r="U91" s="41">
        <f t="shared" si="41"/>
        <v>0</v>
      </c>
      <c r="V91" s="41">
        <f t="shared" si="52"/>
        <v>0</v>
      </c>
      <c r="W91" s="41">
        <f t="shared" si="42"/>
        <v>0</v>
      </c>
      <c r="X91" s="41">
        <f t="shared" si="43"/>
        <v>0</v>
      </c>
      <c r="Y91" s="41">
        <f t="shared" si="43"/>
        <v>0</v>
      </c>
      <c r="Z91" s="41">
        <f t="shared" si="44"/>
        <v>0</v>
      </c>
      <c r="AA91" s="41">
        <f t="shared" si="45"/>
        <v>0</v>
      </c>
      <c r="AB91" s="41">
        <f t="shared" si="46"/>
        <v>0</v>
      </c>
      <c r="AC91" s="41">
        <f t="shared" si="47"/>
        <v>0</v>
      </c>
      <c r="AD91" s="41">
        <f t="shared" si="48"/>
        <v>0</v>
      </c>
      <c r="AE91" s="41">
        <f t="shared" si="49"/>
        <v>0</v>
      </c>
      <c r="AF91" s="41">
        <f t="shared" si="50"/>
        <v>0</v>
      </c>
      <c r="AG91" s="41">
        <f t="shared" si="53"/>
        <v>0</v>
      </c>
      <c r="AH91" s="41">
        <f t="shared" si="51"/>
        <v>0</v>
      </c>
    </row>
    <row r="92" spans="2:34" ht="15" customHeight="1" x14ac:dyDescent="0.3">
      <c r="B92" s="60" t="s">
        <v>341</v>
      </c>
      <c r="C92" s="48">
        <v>0</v>
      </c>
      <c r="D92" s="48">
        <v>0</v>
      </c>
      <c r="E92" s="48">
        <v>0</v>
      </c>
      <c r="F92" s="48">
        <v>0</v>
      </c>
      <c r="G92" s="48">
        <v>0</v>
      </c>
      <c r="H92" s="48">
        <v>0</v>
      </c>
      <c r="I92" s="48">
        <v>0</v>
      </c>
      <c r="J92" s="49">
        <v>0</v>
      </c>
      <c r="K92" s="48">
        <f t="shared" si="54"/>
        <v>0</v>
      </c>
      <c r="L92" s="48">
        <v>0</v>
      </c>
      <c r="M92" s="48">
        <f t="shared" si="55"/>
        <v>0</v>
      </c>
      <c r="N92" s="41">
        <f t="shared" si="34"/>
        <v>0</v>
      </c>
      <c r="O92" s="41">
        <f t="shared" si="35"/>
        <v>0</v>
      </c>
      <c r="P92" s="41">
        <f t="shared" si="36"/>
        <v>0</v>
      </c>
      <c r="Q92" s="41">
        <f t="shared" si="37"/>
        <v>0</v>
      </c>
      <c r="R92" s="41">
        <f t="shared" si="38"/>
        <v>0</v>
      </c>
      <c r="S92" s="41">
        <f t="shared" si="39"/>
        <v>0</v>
      </c>
      <c r="T92" s="41">
        <f t="shared" si="40"/>
        <v>0</v>
      </c>
      <c r="U92" s="41">
        <f t="shared" si="41"/>
        <v>0</v>
      </c>
      <c r="V92" s="41">
        <f t="shared" si="52"/>
        <v>0</v>
      </c>
      <c r="W92" s="41">
        <f t="shared" si="42"/>
        <v>0</v>
      </c>
      <c r="X92" s="41">
        <f t="shared" si="43"/>
        <v>0</v>
      </c>
      <c r="Y92" s="41">
        <f t="shared" si="43"/>
        <v>0</v>
      </c>
      <c r="Z92" s="41">
        <f t="shared" si="44"/>
        <v>0</v>
      </c>
      <c r="AA92" s="41">
        <f t="shared" si="45"/>
        <v>0</v>
      </c>
      <c r="AB92" s="41">
        <f t="shared" si="46"/>
        <v>0</v>
      </c>
      <c r="AC92" s="41">
        <f t="shared" si="47"/>
        <v>0</v>
      </c>
      <c r="AD92" s="41">
        <f t="shared" si="48"/>
        <v>0</v>
      </c>
      <c r="AE92" s="41">
        <f t="shared" si="49"/>
        <v>0</v>
      </c>
      <c r="AF92" s="41">
        <f t="shared" si="50"/>
        <v>0</v>
      </c>
      <c r="AG92" s="41">
        <f t="shared" si="53"/>
        <v>0</v>
      </c>
      <c r="AH92" s="41">
        <f t="shared" si="51"/>
        <v>0</v>
      </c>
    </row>
    <row r="93" spans="2:34" ht="15" customHeight="1" x14ac:dyDescent="0.3">
      <c r="B93" s="60" t="s">
        <v>342</v>
      </c>
      <c r="C93" s="48">
        <v>380.39</v>
      </c>
      <c r="D93" s="48">
        <v>0</v>
      </c>
      <c r="E93" s="48">
        <v>0</v>
      </c>
      <c r="F93" s="48">
        <v>368.17</v>
      </c>
      <c r="G93" s="48">
        <v>66.53</v>
      </c>
      <c r="H93" s="48">
        <v>0</v>
      </c>
      <c r="I93" s="48">
        <v>0</v>
      </c>
      <c r="J93" s="49">
        <v>0</v>
      </c>
      <c r="K93" s="48">
        <f t="shared" si="54"/>
        <v>22.823399999999999</v>
      </c>
      <c r="L93" s="48">
        <v>0</v>
      </c>
      <c r="M93" s="48">
        <f t="shared" si="55"/>
        <v>815.08999999999992</v>
      </c>
      <c r="N93" s="41">
        <f t="shared" si="34"/>
        <v>195.62159999999997</v>
      </c>
      <c r="O93" s="41">
        <f t="shared" si="35"/>
        <v>64.527961050299993</v>
      </c>
      <c r="P93" s="41">
        <f t="shared" si="36"/>
        <v>54.339336050299991</v>
      </c>
      <c r="Q93" s="41">
        <f t="shared" si="37"/>
        <v>64.527961050299993</v>
      </c>
      <c r="R93" s="41">
        <f t="shared" si="38"/>
        <v>0</v>
      </c>
      <c r="S93" s="41">
        <f t="shared" si="39"/>
        <v>42.792224999999995</v>
      </c>
      <c r="T93" s="41">
        <f t="shared" si="40"/>
        <v>32.6036</v>
      </c>
      <c r="U93" s="41">
        <f t="shared" si="41"/>
        <v>16.3018</v>
      </c>
      <c r="V93" s="41">
        <f t="shared" si="52"/>
        <v>16.3018</v>
      </c>
      <c r="W93" s="41">
        <f t="shared" si="42"/>
        <v>32.6036</v>
      </c>
      <c r="X93" s="41">
        <f t="shared" si="43"/>
        <v>0</v>
      </c>
      <c r="Y93" s="41">
        <f t="shared" si="43"/>
        <v>0</v>
      </c>
      <c r="Z93" s="41">
        <f t="shared" si="44"/>
        <v>10.188625</v>
      </c>
      <c r="AA93" s="41">
        <f t="shared" si="45"/>
        <v>0</v>
      </c>
      <c r="AB93" s="41">
        <f t="shared" si="46"/>
        <v>40.7545</v>
      </c>
      <c r="AC93" s="41">
        <f t="shared" si="47"/>
        <v>40.7545</v>
      </c>
      <c r="AD93" s="41">
        <f t="shared" si="48"/>
        <v>40.7545</v>
      </c>
      <c r="AE93" s="41">
        <f t="shared" si="49"/>
        <v>163.018</v>
      </c>
      <c r="AF93" s="41">
        <f t="shared" si="50"/>
        <v>0</v>
      </c>
      <c r="AG93" s="41">
        <f t="shared" si="53"/>
        <v>0</v>
      </c>
      <c r="AH93" s="41">
        <f t="shared" si="51"/>
        <v>0</v>
      </c>
    </row>
    <row r="94" spans="2:34" ht="15" customHeight="1" x14ac:dyDescent="0.3">
      <c r="B94" s="60" t="s">
        <v>343</v>
      </c>
      <c r="C94" s="48">
        <v>480.68</v>
      </c>
      <c r="D94" s="48">
        <v>0</v>
      </c>
      <c r="E94" s="48">
        <v>0</v>
      </c>
      <c r="F94" s="48">
        <v>359.67</v>
      </c>
      <c r="G94" s="48">
        <v>64.989999999999995</v>
      </c>
      <c r="H94" s="48">
        <v>0</v>
      </c>
      <c r="I94" s="48">
        <v>0</v>
      </c>
      <c r="J94" s="49">
        <v>0</v>
      </c>
      <c r="K94" s="48">
        <f t="shared" si="54"/>
        <v>28.840799999999998</v>
      </c>
      <c r="L94" s="48">
        <v>0</v>
      </c>
      <c r="M94" s="48">
        <f t="shared" si="55"/>
        <v>905.34</v>
      </c>
      <c r="N94" s="41">
        <f t="shared" si="34"/>
        <v>217.2816</v>
      </c>
      <c r="O94" s="41">
        <f t="shared" si="35"/>
        <v>71.672753017799991</v>
      </c>
      <c r="P94" s="41">
        <f t="shared" si="36"/>
        <v>60.356003017799999</v>
      </c>
      <c r="Q94" s="41">
        <f t="shared" si="37"/>
        <v>71.672753017799991</v>
      </c>
      <c r="R94" s="41">
        <f t="shared" si="38"/>
        <v>0</v>
      </c>
      <c r="S94" s="41">
        <f t="shared" si="39"/>
        <v>47.530349999999999</v>
      </c>
      <c r="T94" s="41">
        <f t="shared" si="40"/>
        <v>36.2136</v>
      </c>
      <c r="U94" s="41">
        <f t="shared" si="41"/>
        <v>18.1068</v>
      </c>
      <c r="V94" s="41">
        <f t="shared" si="52"/>
        <v>18.1068</v>
      </c>
      <c r="W94" s="41">
        <f t="shared" si="42"/>
        <v>36.2136</v>
      </c>
      <c r="X94" s="41">
        <f t="shared" si="43"/>
        <v>0</v>
      </c>
      <c r="Y94" s="41">
        <f t="shared" si="43"/>
        <v>0</v>
      </c>
      <c r="Z94" s="41">
        <f t="shared" si="44"/>
        <v>11.316750000000001</v>
      </c>
      <c r="AA94" s="41">
        <f t="shared" si="45"/>
        <v>0</v>
      </c>
      <c r="AB94" s="41">
        <f t="shared" si="46"/>
        <v>45.267000000000003</v>
      </c>
      <c r="AC94" s="41">
        <f t="shared" si="47"/>
        <v>45.267000000000003</v>
      </c>
      <c r="AD94" s="41">
        <f t="shared" si="48"/>
        <v>45.267000000000003</v>
      </c>
      <c r="AE94" s="41">
        <f t="shared" si="49"/>
        <v>181.06800000000001</v>
      </c>
      <c r="AF94" s="41">
        <f t="shared" si="50"/>
        <v>0</v>
      </c>
      <c r="AG94" s="41">
        <f t="shared" si="53"/>
        <v>0</v>
      </c>
      <c r="AH94" s="41">
        <f t="shared" si="51"/>
        <v>0</v>
      </c>
    </row>
    <row r="95" spans="2:34" ht="15" customHeight="1" x14ac:dyDescent="0.3">
      <c r="B95" s="60" t="s">
        <v>344</v>
      </c>
      <c r="C95" s="48">
        <f>451</f>
        <v>451</v>
      </c>
      <c r="D95" s="48">
        <v>0</v>
      </c>
      <c r="E95" s="48">
        <v>0</v>
      </c>
      <c r="F95" s="48">
        <v>370.44</v>
      </c>
      <c r="G95" s="48">
        <v>64.25</v>
      </c>
      <c r="H95" s="48">
        <v>0</v>
      </c>
      <c r="I95" s="48">
        <v>0</v>
      </c>
      <c r="J95" s="49">
        <v>0</v>
      </c>
      <c r="K95" s="48">
        <f t="shared" si="54"/>
        <v>27.06</v>
      </c>
      <c r="L95" s="48">
        <v>0</v>
      </c>
      <c r="M95" s="48">
        <f t="shared" si="55"/>
        <v>885.69</v>
      </c>
      <c r="N95" s="41">
        <f t="shared" si="34"/>
        <v>212.56560000000002</v>
      </c>
      <c r="O95" s="41">
        <f t="shared" si="35"/>
        <v>70.117127952299995</v>
      </c>
      <c r="P95" s="41">
        <f t="shared" si="36"/>
        <v>59.0460029523</v>
      </c>
      <c r="Q95" s="41">
        <f t="shared" si="37"/>
        <v>70.117127952299995</v>
      </c>
      <c r="R95" s="41">
        <f t="shared" si="38"/>
        <v>0</v>
      </c>
      <c r="S95" s="41">
        <f t="shared" si="39"/>
        <v>46.498725</v>
      </c>
      <c r="T95" s="41">
        <f t="shared" si="40"/>
        <v>35.427600000000005</v>
      </c>
      <c r="U95" s="41">
        <f t="shared" si="41"/>
        <v>17.713800000000003</v>
      </c>
      <c r="V95" s="41">
        <f t="shared" si="52"/>
        <v>17.713800000000003</v>
      </c>
      <c r="W95" s="41">
        <f t="shared" si="42"/>
        <v>35.427600000000005</v>
      </c>
      <c r="X95" s="41">
        <f t="shared" si="43"/>
        <v>0</v>
      </c>
      <c r="Y95" s="41">
        <f t="shared" si="43"/>
        <v>0</v>
      </c>
      <c r="Z95" s="41">
        <f t="shared" si="44"/>
        <v>11.071125000000002</v>
      </c>
      <c r="AA95" s="41">
        <f t="shared" si="45"/>
        <v>0</v>
      </c>
      <c r="AB95" s="41">
        <f t="shared" si="46"/>
        <v>44.284500000000008</v>
      </c>
      <c r="AC95" s="41">
        <f t="shared" si="47"/>
        <v>44.284500000000008</v>
      </c>
      <c r="AD95" s="41">
        <f t="shared" si="48"/>
        <v>44.284500000000008</v>
      </c>
      <c r="AE95" s="41">
        <f t="shared" si="49"/>
        <v>177.13800000000003</v>
      </c>
      <c r="AF95" s="41">
        <f t="shared" si="50"/>
        <v>0</v>
      </c>
      <c r="AG95" s="41">
        <f t="shared" si="53"/>
        <v>0</v>
      </c>
      <c r="AH95" s="41">
        <f t="shared" si="51"/>
        <v>0</v>
      </c>
    </row>
    <row r="96" spans="2:34" ht="15" customHeight="1" x14ac:dyDescent="0.3">
      <c r="B96" s="60" t="s">
        <v>345</v>
      </c>
      <c r="C96" s="48">
        <f>541.02</f>
        <v>541.02</v>
      </c>
      <c r="D96" s="48">
        <v>0</v>
      </c>
      <c r="E96" s="48">
        <v>0</v>
      </c>
      <c r="F96" s="48">
        <v>437.06</v>
      </c>
      <c r="G96" s="48">
        <v>75.7</v>
      </c>
      <c r="H96" s="48">
        <v>0</v>
      </c>
      <c r="I96" s="48">
        <v>0</v>
      </c>
      <c r="J96" s="49">
        <v>0</v>
      </c>
      <c r="K96" s="48">
        <f t="shared" si="54"/>
        <v>32.461199999999998</v>
      </c>
      <c r="L96" s="48">
        <v>0</v>
      </c>
      <c r="M96" s="48">
        <f t="shared" si="55"/>
        <v>1053.78</v>
      </c>
      <c r="N96" s="41">
        <f t="shared" si="34"/>
        <v>252.90719999999999</v>
      </c>
      <c r="O96" s="41">
        <f t="shared" si="35"/>
        <v>83.424253512599989</v>
      </c>
      <c r="P96" s="41">
        <f t="shared" si="36"/>
        <v>70.252003512599998</v>
      </c>
      <c r="Q96" s="41">
        <f t="shared" si="37"/>
        <v>83.424253512599989</v>
      </c>
      <c r="R96" s="41">
        <f t="shared" si="38"/>
        <v>0</v>
      </c>
      <c r="S96" s="41">
        <f t="shared" si="39"/>
        <v>55.323449999999994</v>
      </c>
      <c r="T96" s="41">
        <f t="shared" si="40"/>
        <v>42.151200000000003</v>
      </c>
      <c r="U96" s="41">
        <f t="shared" si="41"/>
        <v>21.075600000000001</v>
      </c>
      <c r="V96" s="41">
        <f t="shared" si="52"/>
        <v>21.075600000000001</v>
      </c>
      <c r="W96" s="41">
        <f t="shared" si="42"/>
        <v>42.151200000000003</v>
      </c>
      <c r="X96" s="41">
        <f t="shared" si="43"/>
        <v>0</v>
      </c>
      <c r="Y96" s="41">
        <f t="shared" si="43"/>
        <v>0</v>
      </c>
      <c r="Z96" s="41">
        <f t="shared" si="44"/>
        <v>13.17225</v>
      </c>
      <c r="AA96" s="41">
        <f t="shared" si="45"/>
        <v>0</v>
      </c>
      <c r="AB96" s="41">
        <f t="shared" si="46"/>
        <v>52.689</v>
      </c>
      <c r="AC96" s="41">
        <f t="shared" si="47"/>
        <v>52.689</v>
      </c>
      <c r="AD96" s="41">
        <f t="shared" si="48"/>
        <v>52.689</v>
      </c>
      <c r="AE96" s="41">
        <f t="shared" si="49"/>
        <v>210.756</v>
      </c>
      <c r="AF96" s="41">
        <f t="shared" si="50"/>
        <v>0</v>
      </c>
      <c r="AG96" s="41">
        <f t="shared" si="53"/>
        <v>0</v>
      </c>
      <c r="AH96" s="41">
        <f t="shared" si="51"/>
        <v>0</v>
      </c>
    </row>
    <row r="97" spans="2:34" ht="15" customHeight="1" x14ac:dyDescent="0.3">
      <c r="B97" s="60" t="s">
        <v>31</v>
      </c>
      <c r="C97" s="48">
        <f>566.24-53.12</f>
        <v>513.12</v>
      </c>
      <c r="D97" s="48">
        <v>0</v>
      </c>
      <c r="E97" s="48">
        <v>0</v>
      </c>
      <c r="F97" s="48">
        <v>388.63</v>
      </c>
      <c r="G97" s="48">
        <v>73.2</v>
      </c>
      <c r="H97" s="48">
        <v>0</v>
      </c>
      <c r="I97" s="48">
        <v>0</v>
      </c>
      <c r="J97" s="49">
        <v>0</v>
      </c>
      <c r="K97" s="48">
        <f t="shared" si="54"/>
        <v>30.787199999999999</v>
      </c>
      <c r="L97" s="48">
        <v>0</v>
      </c>
      <c r="M97" s="48">
        <f t="shared" si="55"/>
        <v>974.95</v>
      </c>
      <c r="N97" s="41">
        <f t="shared" si="34"/>
        <v>233.988</v>
      </c>
      <c r="O97" s="41">
        <f t="shared" si="35"/>
        <v>77.183544916499997</v>
      </c>
      <c r="P97" s="41">
        <f t="shared" si="36"/>
        <v>64.996669916499997</v>
      </c>
      <c r="Q97" s="41">
        <f t="shared" si="37"/>
        <v>77.183544916499997</v>
      </c>
      <c r="R97" s="41">
        <f t="shared" si="38"/>
        <v>0</v>
      </c>
      <c r="S97" s="41">
        <f t="shared" si="39"/>
        <v>51.184874999999998</v>
      </c>
      <c r="T97" s="41">
        <f t="shared" si="40"/>
        <v>38.998000000000005</v>
      </c>
      <c r="U97" s="41">
        <f t="shared" si="41"/>
        <v>19.499000000000002</v>
      </c>
      <c r="V97" s="41">
        <f t="shared" si="52"/>
        <v>19.499000000000002</v>
      </c>
      <c r="W97" s="41">
        <f t="shared" si="42"/>
        <v>38.998000000000005</v>
      </c>
      <c r="X97" s="41">
        <f t="shared" si="43"/>
        <v>0</v>
      </c>
      <c r="Y97" s="41">
        <f t="shared" si="43"/>
        <v>0</v>
      </c>
      <c r="Z97" s="41">
        <f t="shared" si="44"/>
        <v>12.186875000000001</v>
      </c>
      <c r="AA97" s="41">
        <f t="shared" si="45"/>
        <v>0</v>
      </c>
      <c r="AB97" s="41">
        <f t="shared" si="46"/>
        <v>48.747500000000002</v>
      </c>
      <c r="AC97" s="41">
        <f t="shared" si="47"/>
        <v>48.747500000000002</v>
      </c>
      <c r="AD97" s="41">
        <f t="shared" si="48"/>
        <v>48.747500000000002</v>
      </c>
      <c r="AE97" s="41">
        <f t="shared" si="49"/>
        <v>194.99</v>
      </c>
      <c r="AF97" s="41">
        <f t="shared" si="50"/>
        <v>0</v>
      </c>
      <c r="AG97" s="41">
        <f t="shared" si="53"/>
        <v>0</v>
      </c>
      <c r="AH97" s="41">
        <f t="shared" si="51"/>
        <v>0</v>
      </c>
    </row>
    <row r="98" spans="2:34" ht="15" customHeight="1" x14ac:dyDescent="0.3">
      <c r="B98" s="60" t="s">
        <v>170</v>
      </c>
      <c r="C98" s="48">
        <v>438.1</v>
      </c>
      <c r="D98" s="48">
        <v>0</v>
      </c>
      <c r="E98" s="48">
        <v>0</v>
      </c>
      <c r="F98" s="48">
        <v>197.28</v>
      </c>
      <c r="G98" s="48">
        <v>37.18</v>
      </c>
      <c r="H98" s="48">
        <v>0</v>
      </c>
      <c r="I98" s="48">
        <v>0</v>
      </c>
      <c r="J98" s="49">
        <v>0</v>
      </c>
      <c r="K98" s="48">
        <f t="shared" si="54"/>
        <v>26.286000000000001</v>
      </c>
      <c r="L98" s="48">
        <v>0</v>
      </c>
      <c r="M98" s="48">
        <f t="shared" si="55"/>
        <v>672.56</v>
      </c>
      <c r="N98" s="41">
        <f t="shared" si="34"/>
        <v>161.41439999999997</v>
      </c>
      <c r="O98" s="41">
        <f t="shared" si="35"/>
        <v>53.24433557519999</v>
      </c>
      <c r="P98" s="41">
        <f t="shared" si="36"/>
        <v>44.837335575199994</v>
      </c>
      <c r="Q98" s="41">
        <f t="shared" si="37"/>
        <v>53.24433557519999</v>
      </c>
      <c r="R98" s="41">
        <f t="shared" si="38"/>
        <v>0</v>
      </c>
      <c r="S98" s="41">
        <f t="shared" si="39"/>
        <v>35.309399999999997</v>
      </c>
      <c r="T98" s="41">
        <f t="shared" si="40"/>
        <v>26.9024</v>
      </c>
      <c r="U98" s="41">
        <f t="shared" si="41"/>
        <v>13.4512</v>
      </c>
      <c r="V98" s="41">
        <f t="shared" si="52"/>
        <v>13.4512</v>
      </c>
      <c r="W98" s="41">
        <f t="shared" si="42"/>
        <v>26.9024</v>
      </c>
      <c r="X98" s="41">
        <f t="shared" si="43"/>
        <v>0</v>
      </c>
      <c r="Y98" s="41">
        <f t="shared" si="43"/>
        <v>0</v>
      </c>
      <c r="Z98" s="41">
        <f t="shared" si="44"/>
        <v>8.407</v>
      </c>
      <c r="AA98" s="41">
        <f t="shared" si="45"/>
        <v>0</v>
      </c>
      <c r="AB98" s="41">
        <f t="shared" si="46"/>
        <v>33.628</v>
      </c>
      <c r="AC98" s="41">
        <f t="shared" si="47"/>
        <v>33.628</v>
      </c>
      <c r="AD98" s="41">
        <f t="shared" si="48"/>
        <v>33.628</v>
      </c>
      <c r="AE98" s="41">
        <f t="shared" si="49"/>
        <v>134.512</v>
      </c>
      <c r="AF98" s="41">
        <f t="shared" si="50"/>
        <v>0</v>
      </c>
      <c r="AG98" s="41">
        <f t="shared" si="53"/>
        <v>0</v>
      </c>
      <c r="AH98" s="41">
        <f t="shared" si="51"/>
        <v>0</v>
      </c>
    </row>
    <row r="99" spans="2:34" ht="15" customHeight="1" x14ac:dyDescent="0.3">
      <c r="B99" s="60" t="s">
        <v>171</v>
      </c>
      <c r="C99" s="48">
        <f>351.45</f>
        <v>351.45</v>
      </c>
      <c r="D99" s="48">
        <v>0</v>
      </c>
      <c r="E99" s="48">
        <v>0</v>
      </c>
      <c r="F99" s="48">
        <v>208.84</v>
      </c>
      <c r="G99" s="48">
        <v>39.909999999999997</v>
      </c>
      <c r="H99" s="48">
        <v>0</v>
      </c>
      <c r="I99" s="48">
        <v>0</v>
      </c>
      <c r="J99" s="49">
        <v>0</v>
      </c>
      <c r="K99" s="48">
        <f t="shared" si="54"/>
        <v>21.087</v>
      </c>
      <c r="L99" s="48">
        <v>0</v>
      </c>
      <c r="M99" s="48">
        <f t="shared" si="55"/>
        <v>600.19999999999993</v>
      </c>
      <c r="N99" s="41">
        <f t="shared" si="34"/>
        <v>144.04799999999997</v>
      </c>
      <c r="O99" s="41">
        <f t="shared" si="35"/>
        <v>47.515835333999995</v>
      </c>
      <c r="P99" s="41">
        <f t="shared" si="36"/>
        <v>40.013335333999997</v>
      </c>
      <c r="Q99" s="41">
        <f t="shared" si="37"/>
        <v>47.515835333999995</v>
      </c>
      <c r="R99" s="41">
        <f t="shared" si="38"/>
        <v>0</v>
      </c>
      <c r="S99" s="41">
        <f t="shared" si="39"/>
        <v>31.510499999999997</v>
      </c>
      <c r="T99" s="41">
        <f t="shared" si="40"/>
        <v>24.007999999999999</v>
      </c>
      <c r="U99" s="41">
        <f t="shared" si="41"/>
        <v>12.004</v>
      </c>
      <c r="V99" s="41">
        <f t="shared" si="52"/>
        <v>12.004</v>
      </c>
      <c r="W99" s="41">
        <f t="shared" si="42"/>
        <v>24.007999999999999</v>
      </c>
      <c r="X99" s="41">
        <f t="shared" si="43"/>
        <v>0</v>
      </c>
      <c r="Y99" s="41">
        <f t="shared" si="43"/>
        <v>0</v>
      </c>
      <c r="Z99" s="41">
        <f t="shared" si="44"/>
        <v>7.5024999999999995</v>
      </c>
      <c r="AA99" s="41">
        <f t="shared" si="45"/>
        <v>0</v>
      </c>
      <c r="AB99" s="41">
        <f t="shared" si="46"/>
        <v>30.009999999999998</v>
      </c>
      <c r="AC99" s="41">
        <f t="shared" si="47"/>
        <v>30.009999999999998</v>
      </c>
      <c r="AD99" s="41">
        <f t="shared" si="48"/>
        <v>30.009999999999998</v>
      </c>
      <c r="AE99" s="41">
        <f t="shared" si="49"/>
        <v>120.03999999999999</v>
      </c>
      <c r="AF99" s="41">
        <f t="shared" si="50"/>
        <v>0</v>
      </c>
      <c r="AG99" s="41">
        <f t="shared" si="53"/>
        <v>0</v>
      </c>
      <c r="AH99" s="41">
        <f t="shared" si="51"/>
        <v>0</v>
      </c>
    </row>
    <row r="100" spans="2:34" ht="15" customHeight="1" x14ac:dyDescent="0.3">
      <c r="B100" s="60" t="s">
        <v>372</v>
      </c>
      <c r="C100" s="48">
        <v>486.23</v>
      </c>
      <c r="D100" s="48">
        <v>0</v>
      </c>
      <c r="E100" s="48">
        <v>0</v>
      </c>
      <c r="F100" s="48">
        <v>390.7</v>
      </c>
      <c r="G100" s="48">
        <v>74.77</v>
      </c>
      <c r="H100" s="48">
        <v>0</v>
      </c>
      <c r="I100" s="48">
        <v>0</v>
      </c>
      <c r="J100" s="49">
        <v>0</v>
      </c>
      <c r="K100" s="48">
        <f t="shared" si="54"/>
        <v>29.1738</v>
      </c>
      <c r="L100" s="48">
        <v>0</v>
      </c>
      <c r="M100" s="48">
        <f t="shared" si="55"/>
        <v>951.7</v>
      </c>
      <c r="N100" s="41">
        <f t="shared" si="34"/>
        <v>228.40800000000002</v>
      </c>
      <c r="O100" s="41">
        <f t="shared" si="35"/>
        <v>75.342919839000004</v>
      </c>
      <c r="P100" s="41">
        <f t="shared" si="36"/>
        <v>63.446669839000002</v>
      </c>
      <c r="Q100" s="41">
        <f t="shared" si="37"/>
        <v>75.342919839000004</v>
      </c>
      <c r="R100" s="41">
        <f t="shared" si="38"/>
        <v>0</v>
      </c>
      <c r="S100" s="41">
        <f t="shared" si="39"/>
        <v>49.96425</v>
      </c>
      <c r="T100" s="41">
        <f t="shared" si="40"/>
        <v>38.068000000000005</v>
      </c>
      <c r="U100" s="41">
        <f t="shared" si="41"/>
        <v>19.034000000000002</v>
      </c>
      <c r="V100" s="41">
        <f t="shared" si="52"/>
        <v>19.034000000000002</v>
      </c>
      <c r="W100" s="41">
        <f t="shared" si="42"/>
        <v>38.068000000000005</v>
      </c>
      <c r="X100" s="41">
        <f t="shared" si="43"/>
        <v>0</v>
      </c>
      <c r="Y100" s="41">
        <f t="shared" si="43"/>
        <v>0</v>
      </c>
      <c r="Z100" s="41">
        <f t="shared" si="44"/>
        <v>11.896250000000002</v>
      </c>
      <c r="AA100" s="41">
        <f t="shared" si="45"/>
        <v>0</v>
      </c>
      <c r="AB100" s="41">
        <f t="shared" si="46"/>
        <v>47.585000000000008</v>
      </c>
      <c r="AC100" s="41">
        <f t="shared" si="47"/>
        <v>47.585000000000008</v>
      </c>
      <c r="AD100" s="41">
        <f t="shared" si="48"/>
        <v>47.585000000000008</v>
      </c>
      <c r="AE100" s="41">
        <f t="shared" si="49"/>
        <v>190.34000000000003</v>
      </c>
      <c r="AF100" s="41">
        <f t="shared" si="50"/>
        <v>0</v>
      </c>
      <c r="AG100" s="41">
        <f t="shared" si="53"/>
        <v>0</v>
      </c>
      <c r="AH100" s="41">
        <f t="shared" si="51"/>
        <v>0</v>
      </c>
    </row>
    <row r="101" spans="2:34" ht="15" customHeight="1" x14ac:dyDescent="0.3">
      <c r="B101" s="60" t="s">
        <v>172</v>
      </c>
      <c r="C101" s="48">
        <v>481.68</v>
      </c>
      <c r="D101" s="48">
        <v>58.34</v>
      </c>
      <c r="E101" s="48">
        <v>0</v>
      </c>
      <c r="F101" s="48">
        <v>260.04000000000002</v>
      </c>
      <c r="G101" s="48">
        <v>49.69</v>
      </c>
      <c r="H101" s="48">
        <v>0</v>
      </c>
      <c r="I101" s="48">
        <v>0</v>
      </c>
      <c r="J101" s="49">
        <v>0</v>
      </c>
      <c r="K101" s="48">
        <f t="shared" si="54"/>
        <v>32.401199999999996</v>
      </c>
      <c r="L101" s="48">
        <v>0</v>
      </c>
      <c r="M101" s="48">
        <f t="shared" si="55"/>
        <v>849.75</v>
      </c>
      <c r="N101" s="41">
        <f t="shared" si="34"/>
        <v>203.94</v>
      </c>
      <c r="O101" s="41">
        <f t="shared" si="35"/>
        <v>67.271877832499996</v>
      </c>
      <c r="P101" s="41">
        <f t="shared" si="36"/>
        <v>56.6500028325</v>
      </c>
      <c r="Q101" s="41">
        <f t="shared" si="37"/>
        <v>67.271877832499996</v>
      </c>
      <c r="R101" s="41">
        <f t="shared" si="38"/>
        <v>0</v>
      </c>
      <c r="S101" s="41">
        <f t="shared" si="39"/>
        <v>44.611874999999998</v>
      </c>
      <c r="T101" s="41">
        <f t="shared" si="40"/>
        <v>33.99</v>
      </c>
      <c r="U101" s="41">
        <f t="shared" si="41"/>
        <v>16.995000000000001</v>
      </c>
      <c r="V101" s="41">
        <f t="shared" si="52"/>
        <v>16.995000000000001</v>
      </c>
      <c r="W101" s="41">
        <f t="shared" si="42"/>
        <v>33.99</v>
      </c>
      <c r="X101" s="41">
        <f t="shared" si="43"/>
        <v>0</v>
      </c>
      <c r="Y101" s="41">
        <f t="shared" si="43"/>
        <v>0</v>
      </c>
      <c r="Z101" s="41">
        <f t="shared" si="44"/>
        <v>10.621875000000001</v>
      </c>
      <c r="AA101" s="41">
        <f t="shared" si="45"/>
        <v>0</v>
      </c>
      <c r="AB101" s="41">
        <f t="shared" si="46"/>
        <v>42.487500000000004</v>
      </c>
      <c r="AC101" s="41">
        <f t="shared" si="47"/>
        <v>42.487500000000004</v>
      </c>
      <c r="AD101" s="41">
        <f t="shared" si="48"/>
        <v>42.487500000000004</v>
      </c>
      <c r="AE101" s="41">
        <f t="shared" si="49"/>
        <v>169.95000000000002</v>
      </c>
      <c r="AF101" s="41">
        <f t="shared" si="50"/>
        <v>0</v>
      </c>
      <c r="AG101" s="41">
        <f t="shared" si="53"/>
        <v>0</v>
      </c>
      <c r="AH101" s="41">
        <f t="shared" si="51"/>
        <v>0</v>
      </c>
    </row>
    <row r="102" spans="2:34" ht="15" customHeight="1" x14ac:dyDescent="0.3">
      <c r="B102" s="60" t="s">
        <v>173</v>
      </c>
      <c r="C102" s="48">
        <v>0</v>
      </c>
      <c r="D102" s="48">
        <v>0</v>
      </c>
      <c r="E102" s="48">
        <v>630</v>
      </c>
      <c r="F102" s="48">
        <v>0</v>
      </c>
      <c r="G102" s="48">
        <v>0</v>
      </c>
      <c r="H102" s="48">
        <v>0</v>
      </c>
      <c r="I102" s="48">
        <v>0</v>
      </c>
      <c r="J102" s="49">
        <v>0</v>
      </c>
      <c r="K102" s="48">
        <f t="shared" si="54"/>
        <v>37.799999999999997</v>
      </c>
      <c r="L102" s="48">
        <v>0</v>
      </c>
      <c r="M102" s="48">
        <f t="shared" si="55"/>
        <v>630</v>
      </c>
      <c r="N102" s="41">
        <f t="shared" si="34"/>
        <v>151.19999999999999</v>
      </c>
      <c r="O102" s="41">
        <f t="shared" si="35"/>
        <v>49.875002099999996</v>
      </c>
      <c r="P102" s="41">
        <f t="shared" si="36"/>
        <v>42.000002099999996</v>
      </c>
      <c r="Q102" s="41">
        <f t="shared" si="37"/>
        <v>49.875002099999996</v>
      </c>
      <c r="R102" s="41">
        <f t="shared" si="38"/>
        <v>0</v>
      </c>
      <c r="S102" s="41">
        <f t="shared" si="39"/>
        <v>33.074999999999996</v>
      </c>
      <c r="T102" s="41">
        <f t="shared" si="40"/>
        <v>25.2</v>
      </c>
      <c r="U102" s="41">
        <f t="shared" si="41"/>
        <v>12.6</v>
      </c>
      <c r="V102" s="41">
        <f t="shared" si="52"/>
        <v>12.6</v>
      </c>
      <c r="W102" s="41">
        <f t="shared" si="42"/>
        <v>25.2</v>
      </c>
      <c r="X102" s="41">
        <f t="shared" si="43"/>
        <v>0</v>
      </c>
      <c r="Y102" s="41">
        <f t="shared" si="43"/>
        <v>0</v>
      </c>
      <c r="Z102" s="41">
        <f t="shared" si="44"/>
        <v>7.875</v>
      </c>
      <c r="AA102" s="41">
        <f t="shared" si="45"/>
        <v>0</v>
      </c>
      <c r="AB102" s="41">
        <f t="shared" si="46"/>
        <v>31.5</v>
      </c>
      <c r="AC102" s="41">
        <f t="shared" si="47"/>
        <v>31.5</v>
      </c>
      <c r="AD102" s="41">
        <f t="shared" si="48"/>
        <v>31.5</v>
      </c>
      <c r="AE102" s="41">
        <f t="shared" si="49"/>
        <v>126</v>
      </c>
      <c r="AF102" s="41">
        <f t="shared" si="50"/>
        <v>0</v>
      </c>
      <c r="AG102" s="41">
        <f t="shared" si="53"/>
        <v>0</v>
      </c>
      <c r="AH102" s="41">
        <f t="shared" si="51"/>
        <v>0</v>
      </c>
    </row>
    <row r="103" spans="2:34" ht="15" customHeight="1" x14ac:dyDescent="0.3">
      <c r="B103" s="60" t="s">
        <v>174</v>
      </c>
      <c r="C103" s="48">
        <v>650</v>
      </c>
      <c r="D103" s="48">
        <f>65+6.5</f>
        <v>71.5</v>
      </c>
      <c r="E103" s="48">
        <v>0</v>
      </c>
      <c r="F103" s="48">
        <v>0</v>
      </c>
      <c r="G103" s="48">
        <v>0</v>
      </c>
      <c r="H103" s="48">
        <v>0</v>
      </c>
      <c r="I103" s="48">
        <v>0</v>
      </c>
      <c r="J103" s="49">
        <v>0</v>
      </c>
      <c r="K103" s="48">
        <f t="shared" si="54"/>
        <v>43.29</v>
      </c>
      <c r="L103" s="48">
        <v>0</v>
      </c>
      <c r="M103" s="48">
        <f t="shared" si="55"/>
        <v>721.5</v>
      </c>
      <c r="N103" s="41">
        <f t="shared" si="34"/>
        <v>173.16</v>
      </c>
      <c r="O103" s="41">
        <f t="shared" si="35"/>
        <v>57.118752404999995</v>
      </c>
      <c r="P103" s="41">
        <f t="shared" si="36"/>
        <v>48.100002404999998</v>
      </c>
      <c r="Q103" s="41">
        <f t="shared" si="37"/>
        <v>57.118752404999995</v>
      </c>
      <c r="R103" s="41">
        <f t="shared" si="38"/>
        <v>0</v>
      </c>
      <c r="S103" s="41">
        <f t="shared" si="39"/>
        <v>37.878749999999997</v>
      </c>
      <c r="T103" s="41">
        <f t="shared" si="40"/>
        <v>28.86</v>
      </c>
      <c r="U103" s="41">
        <f t="shared" si="41"/>
        <v>14.43</v>
      </c>
      <c r="V103" s="41">
        <f t="shared" si="52"/>
        <v>14.43</v>
      </c>
      <c r="W103" s="41">
        <f t="shared" si="42"/>
        <v>28.86</v>
      </c>
      <c r="X103" s="41">
        <f t="shared" si="43"/>
        <v>0</v>
      </c>
      <c r="Y103" s="41">
        <f t="shared" si="43"/>
        <v>0</v>
      </c>
      <c r="Z103" s="41">
        <f t="shared" si="44"/>
        <v>9.0187500000000007</v>
      </c>
      <c r="AA103" s="41">
        <f t="shared" si="45"/>
        <v>0</v>
      </c>
      <c r="AB103" s="41">
        <f t="shared" si="46"/>
        <v>36.075000000000003</v>
      </c>
      <c r="AC103" s="41">
        <f t="shared" si="47"/>
        <v>36.075000000000003</v>
      </c>
      <c r="AD103" s="41">
        <f t="shared" si="48"/>
        <v>36.075000000000003</v>
      </c>
      <c r="AE103" s="41">
        <f t="shared" si="49"/>
        <v>144.30000000000001</v>
      </c>
      <c r="AF103" s="41">
        <f t="shared" si="50"/>
        <v>0</v>
      </c>
      <c r="AG103" s="41">
        <f t="shared" si="53"/>
        <v>0</v>
      </c>
      <c r="AH103" s="41">
        <f t="shared" si="51"/>
        <v>0</v>
      </c>
    </row>
    <row r="104" spans="2:34" ht="15" customHeight="1" x14ac:dyDescent="0.3">
      <c r="B104" s="60" t="s">
        <v>32</v>
      </c>
      <c r="C104" s="48">
        <v>384.62</v>
      </c>
      <c r="D104" s="48">
        <v>0</v>
      </c>
      <c r="E104" s="48">
        <v>0</v>
      </c>
      <c r="F104" s="48">
        <v>706.88</v>
      </c>
      <c r="G104" s="48">
        <v>0</v>
      </c>
      <c r="H104" s="48">
        <v>0</v>
      </c>
      <c r="I104" s="48">
        <v>0</v>
      </c>
      <c r="J104" s="49">
        <v>0</v>
      </c>
      <c r="K104" s="48">
        <f t="shared" si="54"/>
        <v>23.077199999999998</v>
      </c>
      <c r="L104" s="48">
        <v>0</v>
      </c>
      <c r="M104" s="48">
        <f t="shared" si="55"/>
        <v>1091.5</v>
      </c>
      <c r="N104" s="41">
        <f t="shared" si="34"/>
        <v>261.95999999999998</v>
      </c>
      <c r="O104" s="41">
        <f t="shared" si="35"/>
        <v>86.410420304999988</v>
      </c>
      <c r="P104" s="41">
        <f t="shared" si="36"/>
        <v>72.766670304999991</v>
      </c>
      <c r="Q104" s="41">
        <f t="shared" si="37"/>
        <v>86.410420304999988</v>
      </c>
      <c r="R104" s="41">
        <f t="shared" si="38"/>
        <v>0</v>
      </c>
      <c r="S104" s="41">
        <f t="shared" si="39"/>
        <v>57.303750000000001</v>
      </c>
      <c r="T104" s="41">
        <f t="shared" si="40"/>
        <v>43.660000000000004</v>
      </c>
      <c r="U104" s="41">
        <f t="shared" si="41"/>
        <v>21.830000000000002</v>
      </c>
      <c r="V104" s="41">
        <f t="shared" si="52"/>
        <v>21.830000000000002</v>
      </c>
      <c r="W104" s="41">
        <f t="shared" si="42"/>
        <v>43.660000000000004</v>
      </c>
      <c r="X104" s="41">
        <f t="shared" si="43"/>
        <v>0</v>
      </c>
      <c r="Y104" s="41">
        <f t="shared" si="43"/>
        <v>0</v>
      </c>
      <c r="Z104" s="41">
        <f t="shared" si="44"/>
        <v>13.643750000000001</v>
      </c>
      <c r="AA104" s="41">
        <f t="shared" si="45"/>
        <v>0</v>
      </c>
      <c r="AB104" s="41">
        <f t="shared" si="46"/>
        <v>54.575000000000003</v>
      </c>
      <c r="AC104" s="41">
        <f t="shared" si="47"/>
        <v>54.575000000000003</v>
      </c>
      <c r="AD104" s="41">
        <f t="shared" si="48"/>
        <v>54.575000000000003</v>
      </c>
      <c r="AE104" s="41">
        <f t="shared" si="49"/>
        <v>218.3</v>
      </c>
      <c r="AF104" s="41">
        <f t="shared" si="50"/>
        <v>0</v>
      </c>
      <c r="AG104" s="41">
        <f t="shared" si="53"/>
        <v>0</v>
      </c>
      <c r="AH104" s="41">
        <f t="shared" si="51"/>
        <v>0</v>
      </c>
    </row>
    <row r="105" spans="2:34" ht="15" customHeight="1" x14ac:dyDescent="0.3">
      <c r="B105" s="60" t="s">
        <v>175</v>
      </c>
      <c r="C105" s="48">
        <v>557.91</v>
      </c>
      <c r="D105" s="48">
        <v>0</v>
      </c>
      <c r="E105" s="48">
        <v>0</v>
      </c>
      <c r="F105" s="48">
        <v>363.13</v>
      </c>
      <c r="G105" s="48">
        <v>65.599999999999994</v>
      </c>
      <c r="H105" s="48">
        <v>0</v>
      </c>
      <c r="I105" s="48">
        <v>0</v>
      </c>
      <c r="J105" s="49">
        <v>0</v>
      </c>
      <c r="K105" s="48">
        <f t="shared" si="54"/>
        <v>33.474599999999995</v>
      </c>
      <c r="L105" s="48">
        <v>0</v>
      </c>
      <c r="M105" s="48">
        <f t="shared" si="55"/>
        <v>986.64</v>
      </c>
      <c r="N105" s="41">
        <f t="shared" si="34"/>
        <v>236.7936</v>
      </c>
      <c r="O105" s="41">
        <f t="shared" si="35"/>
        <v>78.109003288799997</v>
      </c>
      <c r="P105" s="41">
        <f t="shared" si="36"/>
        <v>65.776003288799998</v>
      </c>
      <c r="Q105" s="41">
        <f t="shared" si="37"/>
        <v>78.109003288799997</v>
      </c>
      <c r="R105" s="41">
        <f t="shared" si="38"/>
        <v>0</v>
      </c>
      <c r="S105" s="41">
        <f t="shared" si="39"/>
        <v>51.7986</v>
      </c>
      <c r="T105" s="41">
        <f t="shared" si="40"/>
        <v>39.465600000000002</v>
      </c>
      <c r="U105" s="41">
        <f t="shared" si="41"/>
        <v>19.732800000000001</v>
      </c>
      <c r="V105" s="41">
        <f t="shared" si="52"/>
        <v>19.732800000000001</v>
      </c>
      <c r="W105" s="41">
        <f t="shared" si="42"/>
        <v>39.465600000000002</v>
      </c>
      <c r="X105" s="41">
        <f t="shared" si="43"/>
        <v>0</v>
      </c>
      <c r="Y105" s="41">
        <f t="shared" si="43"/>
        <v>0</v>
      </c>
      <c r="Z105" s="41">
        <f t="shared" si="44"/>
        <v>12.333</v>
      </c>
      <c r="AA105" s="41">
        <f t="shared" si="45"/>
        <v>0</v>
      </c>
      <c r="AB105" s="41">
        <f t="shared" si="46"/>
        <v>49.332000000000001</v>
      </c>
      <c r="AC105" s="41">
        <f t="shared" si="47"/>
        <v>49.332000000000001</v>
      </c>
      <c r="AD105" s="41">
        <f t="shared" si="48"/>
        <v>49.332000000000001</v>
      </c>
      <c r="AE105" s="41">
        <f t="shared" si="49"/>
        <v>197.328</v>
      </c>
      <c r="AF105" s="41">
        <f t="shared" si="50"/>
        <v>0</v>
      </c>
      <c r="AG105" s="41">
        <f t="shared" si="53"/>
        <v>0</v>
      </c>
      <c r="AH105" s="41">
        <f t="shared" si="51"/>
        <v>0</v>
      </c>
    </row>
    <row r="106" spans="2:34" ht="15" customHeight="1" x14ac:dyDescent="0.3">
      <c r="B106" s="60" t="s">
        <v>176</v>
      </c>
      <c r="C106" s="48">
        <f>656.96-172.95</f>
        <v>484.01000000000005</v>
      </c>
      <c r="D106" s="48">
        <v>0</v>
      </c>
      <c r="E106" s="48">
        <v>0</v>
      </c>
      <c r="F106" s="48">
        <v>368.17</v>
      </c>
      <c r="G106" s="48">
        <v>66.53</v>
      </c>
      <c r="H106" s="48">
        <v>0</v>
      </c>
      <c r="I106" s="48">
        <v>0</v>
      </c>
      <c r="J106" s="49">
        <v>0</v>
      </c>
      <c r="K106" s="48">
        <f t="shared" si="54"/>
        <v>29.040600000000001</v>
      </c>
      <c r="L106" s="48">
        <v>0</v>
      </c>
      <c r="M106" s="48">
        <f t="shared" si="55"/>
        <v>918.71</v>
      </c>
      <c r="N106" s="41">
        <f t="shared" si="34"/>
        <v>220.49039999999999</v>
      </c>
      <c r="O106" s="41">
        <f t="shared" si="35"/>
        <v>72.731211395700001</v>
      </c>
      <c r="P106" s="41">
        <f t="shared" si="36"/>
        <v>61.247336395700003</v>
      </c>
      <c r="Q106" s="41">
        <f t="shared" si="37"/>
        <v>72.731211395700001</v>
      </c>
      <c r="R106" s="41">
        <f t="shared" si="38"/>
        <v>0</v>
      </c>
      <c r="S106" s="41">
        <f t="shared" si="39"/>
        <v>48.232275000000001</v>
      </c>
      <c r="T106" s="41">
        <f t="shared" si="40"/>
        <v>36.748400000000004</v>
      </c>
      <c r="U106" s="41">
        <f t="shared" si="41"/>
        <v>18.374200000000002</v>
      </c>
      <c r="V106" s="41">
        <f t="shared" si="52"/>
        <v>18.374200000000002</v>
      </c>
      <c r="W106" s="41">
        <f t="shared" si="42"/>
        <v>36.748400000000004</v>
      </c>
      <c r="X106" s="41">
        <f t="shared" si="43"/>
        <v>0</v>
      </c>
      <c r="Y106" s="41">
        <f t="shared" si="43"/>
        <v>0</v>
      </c>
      <c r="Z106" s="41">
        <f t="shared" si="44"/>
        <v>11.483875000000001</v>
      </c>
      <c r="AA106" s="41">
        <f t="shared" si="45"/>
        <v>0</v>
      </c>
      <c r="AB106" s="41">
        <f t="shared" si="46"/>
        <v>45.935500000000005</v>
      </c>
      <c r="AC106" s="41">
        <f t="shared" si="47"/>
        <v>45.935500000000005</v>
      </c>
      <c r="AD106" s="41">
        <f t="shared" si="48"/>
        <v>45.935500000000005</v>
      </c>
      <c r="AE106" s="41">
        <f t="shared" si="49"/>
        <v>183.74200000000002</v>
      </c>
      <c r="AF106" s="41">
        <f t="shared" si="50"/>
        <v>0</v>
      </c>
      <c r="AG106" s="41">
        <f t="shared" si="53"/>
        <v>0</v>
      </c>
      <c r="AH106" s="41">
        <f t="shared" si="51"/>
        <v>0</v>
      </c>
    </row>
    <row r="107" spans="2:34" ht="15" customHeight="1" x14ac:dyDescent="0.3">
      <c r="B107" s="60" t="s">
        <v>177</v>
      </c>
      <c r="C107" s="48">
        <f>711.42-243.61</f>
        <v>467.80999999999995</v>
      </c>
      <c r="D107" s="48">
        <v>0</v>
      </c>
      <c r="E107" s="48">
        <v>0</v>
      </c>
      <c r="F107" s="48">
        <v>359.67</v>
      </c>
      <c r="G107" s="48">
        <v>64.989999999999995</v>
      </c>
      <c r="H107" s="48">
        <v>0</v>
      </c>
      <c r="I107" s="48">
        <v>0</v>
      </c>
      <c r="J107" s="49">
        <v>0</v>
      </c>
      <c r="K107" s="48">
        <f t="shared" si="54"/>
        <v>28.068599999999996</v>
      </c>
      <c r="L107" s="48">
        <v>0</v>
      </c>
      <c r="M107" s="48">
        <f t="shared" si="55"/>
        <v>892.47</v>
      </c>
      <c r="N107" s="41">
        <f t="shared" si="34"/>
        <v>214.19280000000001</v>
      </c>
      <c r="O107" s="41">
        <f t="shared" si="35"/>
        <v>70.653877974899999</v>
      </c>
      <c r="P107" s="41">
        <f t="shared" si="36"/>
        <v>59.498002974899997</v>
      </c>
      <c r="Q107" s="41">
        <f t="shared" si="37"/>
        <v>70.653877974899999</v>
      </c>
      <c r="R107" s="41">
        <f t="shared" si="38"/>
        <v>0</v>
      </c>
      <c r="S107" s="41">
        <f t="shared" si="39"/>
        <v>46.854675</v>
      </c>
      <c r="T107" s="41">
        <f t="shared" si="40"/>
        <v>35.698799999999999</v>
      </c>
      <c r="U107" s="41">
        <f t="shared" si="41"/>
        <v>17.849399999999999</v>
      </c>
      <c r="V107" s="41">
        <f t="shared" si="52"/>
        <v>17.849399999999999</v>
      </c>
      <c r="W107" s="41">
        <f t="shared" si="42"/>
        <v>35.698799999999999</v>
      </c>
      <c r="X107" s="41">
        <f t="shared" si="43"/>
        <v>0</v>
      </c>
      <c r="Y107" s="41">
        <f t="shared" si="43"/>
        <v>0</v>
      </c>
      <c r="Z107" s="41">
        <f t="shared" si="44"/>
        <v>11.155875000000002</v>
      </c>
      <c r="AA107" s="41">
        <f t="shared" si="45"/>
        <v>0</v>
      </c>
      <c r="AB107" s="41">
        <f t="shared" si="46"/>
        <v>44.623500000000007</v>
      </c>
      <c r="AC107" s="41">
        <f t="shared" si="47"/>
        <v>44.623500000000007</v>
      </c>
      <c r="AD107" s="41">
        <f t="shared" si="48"/>
        <v>44.623500000000007</v>
      </c>
      <c r="AE107" s="41">
        <f t="shared" si="49"/>
        <v>178.49400000000003</v>
      </c>
      <c r="AF107" s="41">
        <f t="shared" si="50"/>
        <v>0</v>
      </c>
      <c r="AG107" s="41">
        <f t="shared" si="53"/>
        <v>0</v>
      </c>
      <c r="AH107" s="41">
        <f t="shared" si="51"/>
        <v>0</v>
      </c>
    </row>
    <row r="108" spans="2:34" ht="15" customHeight="1" x14ac:dyDescent="0.3">
      <c r="B108" s="60" t="s">
        <v>177</v>
      </c>
      <c r="C108" s="48">
        <v>0</v>
      </c>
      <c r="D108" s="48">
        <v>0</v>
      </c>
      <c r="E108" s="48">
        <v>0</v>
      </c>
      <c r="F108" s="48">
        <v>0</v>
      </c>
      <c r="G108" s="48"/>
      <c r="H108" s="48"/>
      <c r="I108" s="48"/>
      <c r="J108" s="49"/>
      <c r="K108" s="48">
        <f t="shared" si="54"/>
        <v>0</v>
      </c>
      <c r="L108" s="48"/>
      <c r="M108" s="48">
        <f t="shared" si="55"/>
        <v>0</v>
      </c>
      <c r="N108" s="41">
        <f t="shared" si="34"/>
        <v>0</v>
      </c>
      <c r="O108" s="41">
        <f t="shared" si="35"/>
        <v>0</v>
      </c>
      <c r="P108" s="41">
        <f t="shared" si="36"/>
        <v>0</v>
      </c>
      <c r="Q108" s="41">
        <f t="shared" si="37"/>
        <v>0</v>
      </c>
      <c r="R108" s="41">
        <f t="shared" si="38"/>
        <v>0</v>
      </c>
      <c r="S108" s="41">
        <f t="shared" si="39"/>
        <v>0</v>
      </c>
      <c r="T108" s="41">
        <f t="shared" si="40"/>
        <v>0</v>
      </c>
      <c r="U108" s="41">
        <f t="shared" si="41"/>
        <v>0</v>
      </c>
      <c r="V108" s="41">
        <f t="shared" si="52"/>
        <v>0</v>
      </c>
      <c r="W108" s="41">
        <f t="shared" si="42"/>
        <v>0</v>
      </c>
      <c r="X108" s="41">
        <f t="shared" si="43"/>
        <v>0</v>
      </c>
      <c r="Y108" s="41">
        <f t="shared" si="43"/>
        <v>0</v>
      </c>
      <c r="Z108" s="41">
        <f t="shared" si="44"/>
        <v>0</v>
      </c>
      <c r="AA108" s="41">
        <f t="shared" si="45"/>
        <v>0</v>
      </c>
      <c r="AB108" s="41">
        <f t="shared" si="46"/>
        <v>0</v>
      </c>
      <c r="AC108" s="41">
        <f t="shared" si="47"/>
        <v>0</v>
      </c>
      <c r="AD108" s="41">
        <f t="shared" si="48"/>
        <v>0</v>
      </c>
      <c r="AE108" s="41">
        <f t="shared" si="49"/>
        <v>0</v>
      </c>
      <c r="AF108" s="41">
        <f t="shared" si="50"/>
        <v>0</v>
      </c>
      <c r="AG108" s="41">
        <f t="shared" si="53"/>
        <v>0</v>
      </c>
      <c r="AH108" s="41">
        <f t="shared" si="51"/>
        <v>0</v>
      </c>
    </row>
    <row r="109" spans="2:34" ht="15" customHeight="1" x14ac:dyDescent="0.3">
      <c r="B109" s="60" t="s">
        <v>178</v>
      </c>
      <c r="C109" s="48">
        <v>383.08</v>
      </c>
      <c r="D109" s="48">
        <v>52.14</v>
      </c>
      <c r="E109" s="48">
        <v>0</v>
      </c>
      <c r="F109" s="48">
        <v>370.44</v>
      </c>
      <c r="G109" s="48">
        <v>64.25</v>
      </c>
      <c r="H109" s="48">
        <v>0</v>
      </c>
      <c r="I109" s="48">
        <v>0</v>
      </c>
      <c r="J109" s="49">
        <v>0</v>
      </c>
      <c r="K109" s="48">
        <f t="shared" si="54"/>
        <v>26.113199999999996</v>
      </c>
      <c r="L109" s="48">
        <v>0</v>
      </c>
      <c r="M109" s="48">
        <f t="shared" si="55"/>
        <v>869.91</v>
      </c>
      <c r="N109" s="41">
        <f t="shared" si="34"/>
        <v>208.77839999999998</v>
      </c>
      <c r="O109" s="41">
        <f t="shared" si="35"/>
        <v>68.867877899699991</v>
      </c>
      <c r="P109" s="41">
        <f t="shared" si="36"/>
        <v>57.994002899699993</v>
      </c>
      <c r="Q109" s="41">
        <f t="shared" si="37"/>
        <v>68.867877899699991</v>
      </c>
      <c r="R109" s="41">
        <f t="shared" si="38"/>
        <v>0</v>
      </c>
      <c r="S109" s="41">
        <f t="shared" si="39"/>
        <v>45.670274999999997</v>
      </c>
      <c r="T109" s="41">
        <f t="shared" si="40"/>
        <v>34.796399999999998</v>
      </c>
      <c r="U109" s="41">
        <f t="shared" si="41"/>
        <v>17.398199999999999</v>
      </c>
      <c r="V109" s="41">
        <f t="shared" si="52"/>
        <v>17.398199999999999</v>
      </c>
      <c r="W109" s="41">
        <f t="shared" si="42"/>
        <v>34.796399999999998</v>
      </c>
      <c r="X109" s="41">
        <f t="shared" si="43"/>
        <v>0</v>
      </c>
      <c r="Y109" s="41">
        <f t="shared" si="43"/>
        <v>0</v>
      </c>
      <c r="Z109" s="41">
        <f t="shared" si="44"/>
        <v>10.873875</v>
      </c>
      <c r="AA109" s="41">
        <f t="shared" si="45"/>
        <v>0</v>
      </c>
      <c r="AB109" s="41">
        <f t="shared" si="46"/>
        <v>43.4955</v>
      </c>
      <c r="AC109" s="41">
        <f t="shared" si="47"/>
        <v>43.4955</v>
      </c>
      <c r="AD109" s="41">
        <f t="shared" si="48"/>
        <v>43.4955</v>
      </c>
      <c r="AE109" s="41">
        <f t="shared" si="49"/>
        <v>173.982</v>
      </c>
      <c r="AF109" s="41">
        <f t="shared" si="50"/>
        <v>0</v>
      </c>
      <c r="AG109" s="41">
        <f t="shared" si="53"/>
        <v>0</v>
      </c>
      <c r="AH109" s="41">
        <f t="shared" si="51"/>
        <v>0</v>
      </c>
    </row>
    <row r="110" spans="2:34" ht="15" customHeight="1" x14ac:dyDescent="0.3">
      <c r="B110" s="60" t="s">
        <v>179</v>
      </c>
      <c r="C110" s="48">
        <v>493.7</v>
      </c>
      <c r="D110" s="48">
        <v>0</v>
      </c>
      <c r="E110" s="48">
        <v>0</v>
      </c>
      <c r="F110" s="48">
        <v>437.06</v>
      </c>
      <c r="G110" s="48">
        <v>75.7</v>
      </c>
      <c r="H110" s="48">
        <v>0</v>
      </c>
      <c r="I110" s="48">
        <v>0</v>
      </c>
      <c r="J110" s="49">
        <v>0</v>
      </c>
      <c r="K110" s="48">
        <f t="shared" si="54"/>
        <v>29.622</v>
      </c>
      <c r="L110" s="48">
        <v>0</v>
      </c>
      <c r="M110" s="48">
        <f t="shared" si="55"/>
        <v>1006.46</v>
      </c>
      <c r="N110" s="41">
        <f t="shared" si="34"/>
        <v>241.5504</v>
      </c>
      <c r="O110" s="41">
        <f t="shared" si="35"/>
        <v>79.678086688199997</v>
      </c>
      <c r="P110" s="41">
        <f t="shared" si="36"/>
        <v>67.097336688200002</v>
      </c>
      <c r="Q110" s="41">
        <f t="shared" si="37"/>
        <v>79.678086688199997</v>
      </c>
      <c r="R110" s="41">
        <f t="shared" si="38"/>
        <v>0</v>
      </c>
      <c r="S110" s="41">
        <f t="shared" si="39"/>
        <v>52.839149999999997</v>
      </c>
      <c r="T110" s="41">
        <f t="shared" si="40"/>
        <v>40.258400000000002</v>
      </c>
      <c r="U110" s="41">
        <f t="shared" si="41"/>
        <v>20.129200000000001</v>
      </c>
      <c r="V110" s="41">
        <f t="shared" si="52"/>
        <v>20.129200000000001</v>
      </c>
      <c r="W110" s="41">
        <f t="shared" si="42"/>
        <v>40.258400000000002</v>
      </c>
      <c r="X110" s="41">
        <f t="shared" si="43"/>
        <v>0</v>
      </c>
      <c r="Y110" s="41">
        <f t="shared" si="43"/>
        <v>0</v>
      </c>
      <c r="Z110" s="41">
        <f t="shared" si="44"/>
        <v>12.580750000000002</v>
      </c>
      <c r="AA110" s="41">
        <f t="shared" si="45"/>
        <v>0</v>
      </c>
      <c r="AB110" s="41">
        <f t="shared" si="46"/>
        <v>50.323000000000008</v>
      </c>
      <c r="AC110" s="41">
        <f t="shared" si="47"/>
        <v>50.323000000000008</v>
      </c>
      <c r="AD110" s="41">
        <f t="shared" si="48"/>
        <v>50.323000000000008</v>
      </c>
      <c r="AE110" s="41">
        <f t="shared" si="49"/>
        <v>201.29200000000003</v>
      </c>
      <c r="AF110" s="41">
        <f t="shared" si="50"/>
        <v>0</v>
      </c>
      <c r="AG110" s="41">
        <f t="shared" si="53"/>
        <v>0</v>
      </c>
      <c r="AH110" s="41">
        <f t="shared" si="51"/>
        <v>0</v>
      </c>
    </row>
    <row r="111" spans="2:34" ht="15" customHeight="1" x14ac:dyDescent="0.3">
      <c r="B111" s="60" t="s">
        <v>33</v>
      </c>
      <c r="C111" s="48">
        <f>794.71</f>
        <v>794.71</v>
      </c>
      <c r="D111" s="48">
        <v>0</v>
      </c>
      <c r="E111" s="48">
        <v>0</v>
      </c>
      <c r="F111" s="48">
        <v>388.63</v>
      </c>
      <c r="G111" s="48">
        <v>73.22</v>
      </c>
      <c r="H111" s="48">
        <v>0</v>
      </c>
      <c r="I111" s="48">
        <v>0</v>
      </c>
      <c r="J111" s="49">
        <v>0</v>
      </c>
      <c r="K111" s="48">
        <f t="shared" si="54"/>
        <v>47.682600000000001</v>
      </c>
      <c r="L111" s="48">
        <v>0</v>
      </c>
      <c r="M111" s="48">
        <f t="shared" si="55"/>
        <v>1256.5600000000002</v>
      </c>
      <c r="N111" s="41">
        <f t="shared" si="34"/>
        <v>301.57440000000003</v>
      </c>
      <c r="O111" s="41">
        <f t="shared" si="35"/>
        <v>99.477670855200003</v>
      </c>
      <c r="P111" s="41">
        <f t="shared" si="36"/>
        <v>83.770670855200009</v>
      </c>
      <c r="Q111" s="41">
        <f t="shared" si="37"/>
        <v>99.477670855200003</v>
      </c>
      <c r="R111" s="41">
        <f t="shared" si="38"/>
        <v>0</v>
      </c>
      <c r="S111" s="41">
        <f t="shared" si="39"/>
        <v>65.969400000000007</v>
      </c>
      <c r="T111" s="41">
        <f t="shared" si="40"/>
        <v>50.262400000000007</v>
      </c>
      <c r="U111" s="41">
        <f t="shared" si="41"/>
        <v>25.131200000000003</v>
      </c>
      <c r="V111" s="41">
        <f t="shared" si="52"/>
        <v>25.131200000000003</v>
      </c>
      <c r="W111" s="41">
        <f t="shared" si="42"/>
        <v>50.262400000000007</v>
      </c>
      <c r="X111" s="41">
        <f t="shared" si="43"/>
        <v>0</v>
      </c>
      <c r="Y111" s="41">
        <f t="shared" si="43"/>
        <v>0</v>
      </c>
      <c r="Z111" s="41">
        <f t="shared" si="44"/>
        <v>15.707000000000003</v>
      </c>
      <c r="AA111" s="41">
        <f t="shared" si="45"/>
        <v>0</v>
      </c>
      <c r="AB111" s="41">
        <f t="shared" si="46"/>
        <v>62.82800000000001</v>
      </c>
      <c r="AC111" s="41">
        <f t="shared" si="47"/>
        <v>62.82800000000001</v>
      </c>
      <c r="AD111" s="41">
        <f t="shared" si="48"/>
        <v>62.82800000000001</v>
      </c>
      <c r="AE111" s="41">
        <f t="shared" si="49"/>
        <v>251.31200000000004</v>
      </c>
      <c r="AF111" s="41">
        <f t="shared" si="50"/>
        <v>0</v>
      </c>
      <c r="AG111" s="41">
        <f t="shared" si="53"/>
        <v>0</v>
      </c>
      <c r="AH111" s="41">
        <f t="shared" si="51"/>
        <v>0</v>
      </c>
    </row>
    <row r="112" spans="2:34" ht="15" customHeight="1" x14ac:dyDescent="0.3">
      <c r="B112" s="60" t="s">
        <v>180</v>
      </c>
      <c r="C112" s="48">
        <v>0</v>
      </c>
      <c r="D112" s="48">
        <v>0</v>
      </c>
      <c r="E112" s="48">
        <v>0</v>
      </c>
      <c r="F112" s="48">
        <v>0</v>
      </c>
      <c r="G112" s="48">
        <v>0</v>
      </c>
      <c r="H112" s="48">
        <v>0</v>
      </c>
      <c r="I112" s="48">
        <v>0</v>
      </c>
      <c r="J112" s="49">
        <v>0</v>
      </c>
      <c r="K112" s="48">
        <f t="shared" si="54"/>
        <v>0</v>
      </c>
      <c r="L112" s="48">
        <v>0</v>
      </c>
      <c r="M112" s="48">
        <f t="shared" si="55"/>
        <v>0</v>
      </c>
      <c r="N112" s="41">
        <f t="shared" si="34"/>
        <v>0</v>
      </c>
      <c r="O112" s="41">
        <f t="shared" si="35"/>
        <v>0</v>
      </c>
      <c r="P112" s="41">
        <f t="shared" si="36"/>
        <v>0</v>
      </c>
      <c r="Q112" s="41">
        <f t="shared" si="37"/>
        <v>0</v>
      </c>
      <c r="R112" s="41">
        <f t="shared" si="38"/>
        <v>0</v>
      </c>
      <c r="S112" s="41">
        <f t="shared" si="39"/>
        <v>0</v>
      </c>
      <c r="T112" s="41">
        <f t="shared" si="40"/>
        <v>0</v>
      </c>
      <c r="U112" s="41">
        <f t="shared" si="41"/>
        <v>0</v>
      </c>
      <c r="V112" s="41">
        <f t="shared" si="52"/>
        <v>0</v>
      </c>
      <c r="W112" s="41">
        <f t="shared" si="42"/>
        <v>0</v>
      </c>
      <c r="X112" s="41">
        <f t="shared" si="43"/>
        <v>0</v>
      </c>
      <c r="Y112" s="41">
        <f t="shared" si="43"/>
        <v>0</v>
      </c>
      <c r="Z112" s="41">
        <f t="shared" si="44"/>
        <v>0</v>
      </c>
      <c r="AA112" s="41">
        <f t="shared" si="45"/>
        <v>0</v>
      </c>
      <c r="AB112" s="41">
        <f t="shared" si="46"/>
        <v>0</v>
      </c>
      <c r="AC112" s="41">
        <f t="shared" si="47"/>
        <v>0</v>
      </c>
      <c r="AD112" s="41">
        <f t="shared" si="48"/>
        <v>0</v>
      </c>
      <c r="AE112" s="41">
        <f t="shared" si="49"/>
        <v>0</v>
      </c>
      <c r="AF112" s="41">
        <f t="shared" si="50"/>
        <v>0</v>
      </c>
      <c r="AG112" s="41">
        <f t="shared" si="53"/>
        <v>0</v>
      </c>
      <c r="AH112" s="41">
        <f t="shared" si="51"/>
        <v>0</v>
      </c>
    </row>
    <row r="113" spans="2:34" ht="15" customHeight="1" x14ac:dyDescent="0.3">
      <c r="B113" s="60" t="s">
        <v>181</v>
      </c>
      <c r="C113" s="48">
        <v>476.41</v>
      </c>
      <c r="D113" s="48">
        <v>55.81</v>
      </c>
      <c r="E113" s="48">
        <v>0</v>
      </c>
      <c r="F113" s="48">
        <v>208.84</v>
      </c>
      <c r="G113" s="48">
        <v>39.909999999999997</v>
      </c>
      <c r="H113" s="48">
        <v>0</v>
      </c>
      <c r="I113" s="48">
        <v>0</v>
      </c>
      <c r="J113" s="49">
        <v>0</v>
      </c>
      <c r="K113" s="48">
        <f t="shared" si="54"/>
        <v>31.933199999999999</v>
      </c>
      <c r="L113" s="48">
        <v>0</v>
      </c>
      <c r="M113" s="48">
        <f t="shared" si="55"/>
        <v>780.97</v>
      </c>
      <c r="N113" s="41">
        <f t="shared" si="34"/>
        <v>187.43279999999999</v>
      </c>
      <c r="O113" s="41">
        <f t="shared" si="35"/>
        <v>61.826794269899999</v>
      </c>
      <c r="P113" s="41">
        <f t="shared" si="36"/>
        <v>52.064669269900001</v>
      </c>
      <c r="Q113" s="41">
        <f t="shared" si="37"/>
        <v>61.826794269899999</v>
      </c>
      <c r="R113" s="41">
        <f t="shared" si="38"/>
        <v>0</v>
      </c>
      <c r="S113" s="41">
        <f t="shared" si="39"/>
        <v>41.000925000000002</v>
      </c>
      <c r="T113" s="41">
        <f t="shared" si="40"/>
        <v>31.238800000000001</v>
      </c>
      <c r="U113" s="41">
        <f t="shared" si="41"/>
        <v>15.619400000000001</v>
      </c>
      <c r="V113" s="41">
        <f t="shared" si="52"/>
        <v>15.619400000000001</v>
      </c>
      <c r="W113" s="41">
        <f t="shared" si="42"/>
        <v>31.238800000000001</v>
      </c>
      <c r="X113" s="41">
        <f t="shared" si="43"/>
        <v>0</v>
      </c>
      <c r="Y113" s="41">
        <f t="shared" si="43"/>
        <v>0</v>
      </c>
      <c r="Z113" s="41">
        <f t="shared" si="44"/>
        <v>9.7621250000000011</v>
      </c>
      <c r="AA113" s="41">
        <f t="shared" si="45"/>
        <v>0</v>
      </c>
      <c r="AB113" s="41">
        <f t="shared" si="46"/>
        <v>39.048500000000004</v>
      </c>
      <c r="AC113" s="41">
        <f t="shared" si="47"/>
        <v>39.048500000000004</v>
      </c>
      <c r="AD113" s="41">
        <f t="shared" si="48"/>
        <v>39.048500000000004</v>
      </c>
      <c r="AE113" s="41">
        <f t="shared" si="49"/>
        <v>156.19400000000002</v>
      </c>
      <c r="AF113" s="41">
        <f t="shared" si="50"/>
        <v>0</v>
      </c>
      <c r="AG113" s="41">
        <f t="shared" si="53"/>
        <v>0</v>
      </c>
      <c r="AH113" s="41">
        <f t="shared" si="51"/>
        <v>0</v>
      </c>
    </row>
    <row r="114" spans="2:34" ht="15" customHeight="1" x14ac:dyDescent="0.3">
      <c r="B114" s="60" t="s">
        <v>182</v>
      </c>
      <c r="C114" s="48">
        <v>484.66</v>
      </c>
      <c r="D114" s="48">
        <v>0</v>
      </c>
      <c r="E114" s="48">
        <v>0</v>
      </c>
      <c r="F114" s="48">
        <v>390.7</v>
      </c>
      <c r="G114" s="48">
        <v>74.77</v>
      </c>
      <c r="H114" s="48">
        <v>0</v>
      </c>
      <c r="I114" s="48">
        <v>0</v>
      </c>
      <c r="J114" s="49">
        <v>0</v>
      </c>
      <c r="K114" s="48">
        <f>(C114+D114+E114)*6%</f>
        <v>29.079599999999999</v>
      </c>
      <c r="L114" s="48">
        <v>0</v>
      </c>
      <c r="M114" s="48">
        <f>C114+D114+E114+F114+G114+H114+J114+L114-I114</f>
        <v>950.13</v>
      </c>
      <c r="N114" s="41">
        <f t="shared" si="34"/>
        <v>228.03119999999998</v>
      </c>
      <c r="O114" s="41">
        <f t="shared" si="35"/>
        <v>75.218628167099993</v>
      </c>
      <c r="P114" s="41">
        <f t="shared" si="36"/>
        <v>63.342003167099996</v>
      </c>
      <c r="Q114" s="41">
        <f t="shared" si="37"/>
        <v>75.218628167099993</v>
      </c>
      <c r="R114" s="41">
        <f t="shared" si="38"/>
        <v>0</v>
      </c>
      <c r="S114" s="41">
        <f t="shared" si="39"/>
        <v>49.881824999999999</v>
      </c>
      <c r="T114" s="41">
        <f t="shared" si="40"/>
        <v>38.005200000000002</v>
      </c>
      <c r="U114" s="41">
        <f t="shared" si="41"/>
        <v>19.002600000000001</v>
      </c>
      <c r="V114" s="41">
        <f t="shared" si="52"/>
        <v>19.002600000000001</v>
      </c>
      <c r="W114" s="41">
        <f t="shared" si="42"/>
        <v>38.005200000000002</v>
      </c>
      <c r="X114" s="41">
        <f t="shared" si="43"/>
        <v>0</v>
      </c>
      <c r="Y114" s="41">
        <f t="shared" si="43"/>
        <v>0</v>
      </c>
      <c r="Z114" s="41">
        <f t="shared" si="44"/>
        <v>11.876625000000001</v>
      </c>
      <c r="AA114" s="41">
        <f t="shared" si="45"/>
        <v>0</v>
      </c>
      <c r="AB114" s="41">
        <f t="shared" si="46"/>
        <v>47.506500000000003</v>
      </c>
      <c r="AC114" s="41">
        <f t="shared" si="47"/>
        <v>47.506500000000003</v>
      </c>
      <c r="AD114" s="41">
        <f t="shared" si="48"/>
        <v>47.506500000000003</v>
      </c>
      <c r="AE114" s="41">
        <f t="shared" si="49"/>
        <v>190.02600000000001</v>
      </c>
      <c r="AF114" s="41">
        <f t="shared" si="50"/>
        <v>0</v>
      </c>
      <c r="AG114" s="41">
        <f t="shared" si="53"/>
        <v>0</v>
      </c>
      <c r="AH114" s="41">
        <f t="shared" si="51"/>
        <v>0</v>
      </c>
    </row>
    <row r="115" spans="2:34" ht="15" customHeight="1" x14ac:dyDescent="0.3">
      <c r="B115" s="60" t="s">
        <v>34</v>
      </c>
      <c r="C115" s="48">
        <v>256.89999999999998</v>
      </c>
      <c r="D115" s="48">
        <v>0</v>
      </c>
      <c r="E115" s="48">
        <v>0</v>
      </c>
      <c r="F115" s="48">
        <v>138.69</v>
      </c>
      <c r="G115" s="48">
        <v>26.51</v>
      </c>
      <c r="H115" s="48">
        <v>0</v>
      </c>
      <c r="I115" s="48">
        <v>0</v>
      </c>
      <c r="J115" s="49">
        <v>0</v>
      </c>
      <c r="K115" s="48">
        <f t="shared" ref="K115:K116" si="56">(C115+D115+E115)*6%</f>
        <v>15.413999999999998</v>
      </c>
      <c r="L115" s="48">
        <v>0</v>
      </c>
      <c r="M115" s="48">
        <f t="shared" ref="M115:M116" si="57">C115+D115+E115+F115+G115+H115+J115+L115-I115</f>
        <v>422.09999999999997</v>
      </c>
      <c r="N115" s="41">
        <f t="shared" si="34"/>
        <v>101.30399999999999</v>
      </c>
      <c r="O115" s="41">
        <f t="shared" si="35"/>
        <v>33.416251406999997</v>
      </c>
      <c r="P115" s="41">
        <f t="shared" si="36"/>
        <v>28.140001406999996</v>
      </c>
      <c r="Q115" s="41">
        <f t="shared" si="37"/>
        <v>33.416251406999997</v>
      </c>
      <c r="R115" s="41">
        <f t="shared" si="38"/>
        <v>0</v>
      </c>
      <c r="S115" s="41">
        <f t="shared" si="39"/>
        <v>22.160249999999998</v>
      </c>
      <c r="T115" s="41">
        <f t="shared" si="40"/>
        <v>16.884</v>
      </c>
      <c r="U115" s="41">
        <f t="shared" si="41"/>
        <v>8.4420000000000002</v>
      </c>
      <c r="V115" s="41">
        <f t="shared" si="52"/>
        <v>8.4420000000000002</v>
      </c>
      <c r="W115" s="41">
        <f t="shared" si="42"/>
        <v>16.884</v>
      </c>
      <c r="X115" s="41">
        <f t="shared" si="43"/>
        <v>0</v>
      </c>
      <c r="Y115" s="41">
        <f t="shared" si="43"/>
        <v>0</v>
      </c>
      <c r="Z115" s="41">
        <f t="shared" si="44"/>
        <v>5.2762500000000001</v>
      </c>
      <c r="AA115" s="41">
        <f t="shared" si="45"/>
        <v>0</v>
      </c>
      <c r="AB115" s="41">
        <f t="shared" si="46"/>
        <v>21.105</v>
      </c>
      <c r="AC115" s="41">
        <f t="shared" si="47"/>
        <v>21.105</v>
      </c>
      <c r="AD115" s="41">
        <f t="shared" si="48"/>
        <v>21.105</v>
      </c>
      <c r="AE115" s="41">
        <f t="shared" si="49"/>
        <v>84.42</v>
      </c>
      <c r="AF115" s="41">
        <f t="shared" si="50"/>
        <v>0</v>
      </c>
      <c r="AG115" s="41">
        <f t="shared" si="53"/>
        <v>0</v>
      </c>
      <c r="AH115" s="41">
        <f t="shared" si="51"/>
        <v>0</v>
      </c>
    </row>
    <row r="116" spans="2:34" ht="15" customHeight="1" x14ac:dyDescent="0.3">
      <c r="B116" s="60" t="s">
        <v>34</v>
      </c>
      <c r="C116" s="48">
        <v>0</v>
      </c>
      <c r="D116" s="48">
        <v>0</v>
      </c>
      <c r="E116" s="48">
        <v>0</v>
      </c>
      <c r="F116" s="48">
        <v>0</v>
      </c>
      <c r="G116" s="48">
        <v>0</v>
      </c>
      <c r="H116" s="48">
        <v>0</v>
      </c>
      <c r="I116" s="48">
        <v>0</v>
      </c>
      <c r="J116" s="49">
        <v>0</v>
      </c>
      <c r="K116" s="48">
        <f t="shared" si="56"/>
        <v>0</v>
      </c>
      <c r="L116" s="48">
        <v>0</v>
      </c>
      <c r="M116" s="48">
        <f t="shared" si="57"/>
        <v>0</v>
      </c>
      <c r="N116" s="41">
        <f t="shared" si="34"/>
        <v>0</v>
      </c>
      <c r="O116" s="41">
        <f t="shared" si="35"/>
        <v>0</v>
      </c>
      <c r="P116" s="41">
        <f t="shared" si="36"/>
        <v>0</v>
      </c>
      <c r="Q116" s="41">
        <f t="shared" si="37"/>
        <v>0</v>
      </c>
      <c r="R116" s="41">
        <f t="shared" si="38"/>
        <v>0</v>
      </c>
      <c r="S116" s="41">
        <f t="shared" si="39"/>
        <v>0</v>
      </c>
      <c r="T116" s="41">
        <f t="shared" si="40"/>
        <v>0</v>
      </c>
      <c r="U116" s="41">
        <f t="shared" si="41"/>
        <v>0</v>
      </c>
      <c r="V116" s="41">
        <f t="shared" si="52"/>
        <v>0</v>
      </c>
      <c r="W116" s="41">
        <f t="shared" si="42"/>
        <v>0</v>
      </c>
      <c r="X116" s="41">
        <f t="shared" si="43"/>
        <v>0</v>
      </c>
      <c r="Y116" s="41">
        <f t="shared" si="43"/>
        <v>0</v>
      </c>
      <c r="Z116" s="41">
        <f t="shared" si="44"/>
        <v>0</v>
      </c>
      <c r="AA116" s="41">
        <f t="shared" si="45"/>
        <v>0</v>
      </c>
      <c r="AB116" s="41">
        <f t="shared" si="46"/>
        <v>0</v>
      </c>
      <c r="AC116" s="41">
        <f t="shared" si="47"/>
        <v>0</v>
      </c>
      <c r="AD116" s="41">
        <f t="shared" si="48"/>
        <v>0</v>
      </c>
      <c r="AE116" s="41">
        <f t="shared" si="49"/>
        <v>0</v>
      </c>
      <c r="AF116" s="41">
        <f t="shared" si="50"/>
        <v>0</v>
      </c>
      <c r="AG116" s="41">
        <f t="shared" si="53"/>
        <v>0</v>
      </c>
      <c r="AH116" s="41">
        <f t="shared" si="51"/>
        <v>0</v>
      </c>
    </row>
    <row r="117" spans="2:34" ht="15" customHeight="1" x14ac:dyDescent="0.3">
      <c r="B117" s="60" t="s">
        <v>35</v>
      </c>
      <c r="C117" s="48">
        <v>449.74</v>
      </c>
      <c r="D117" s="48">
        <v>0</v>
      </c>
      <c r="E117" s="48">
        <v>0</v>
      </c>
      <c r="F117" s="48">
        <v>195.4</v>
      </c>
      <c r="G117" s="48">
        <v>33.18</v>
      </c>
      <c r="H117" s="48">
        <v>0</v>
      </c>
      <c r="I117" s="48">
        <v>0</v>
      </c>
      <c r="J117" s="49">
        <v>0</v>
      </c>
      <c r="K117" s="48">
        <f t="shared" si="54"/>
        <v>26.984400000000001</v>
      </c>
      <c r="L117" s="48">
        <v>0</v>
      </c>
      <c r="M117" s="48">
        <f t="shared" si="55"/>
        <v>678.31999999999994</v>
      </c>
      <c r="N117" s="41">
        <f t="shared" si="34"/>
        <v>162.79679999999999</v>
      </c>
      <c r="O117" s="41">
        <f t="shared" si="35"/>
        <v>53.700335594399988</v>
      </c>
      <c r="P117" s="41">
        <f t="shared" si="36"/>
        <v>45.221335594399996</v>
      </c>
      <c r="Q117" s="41">
        <f t="shared" si="37"/>
        <v>53.700335594399988</v>
      </c>
      <c r="R117" s="41">
        <f t="shared" si="38"/>
        <v>0</v>
      </c>
      <c r="S117" s="41">
        <f t="shared" si="39"/>
        <v>35.611799999999995</v>
      </c>
      <c r="T117" s="41">
        <f t="shared" si="40"/>
        <v>27.1328</v>
      </c>
      <c r="U117" s="41">
        <f t="shared" si="41"/>
        <v>13.5664</v>
      </c>
      <c r="V117" s="41">
        <f t="shared" si="52"/>
        <v>13.5664</v>
      </c>
      <c r="W117" s="41">
        <f t="shared" si="42"/>
        <v>27.1328</v>
      </c>
      <c r="X117" s="41">
        <f t="shared" si="43"/>
        <v>0</v>
      </c>
      <c r="Y117" s="41">
        <f t="shared" si="43"/>
        <v>0</v>
      </c>
      <c r="Z117" s="41">
        <f t="shared" si="44"/>
        <v>8.4789999999999992</v>
      </c>
      <c r="AA117" s="41">
        <f t="shared" si="45"/>
        <v>0</v>
      </c>
      <c r="AB117" s="41">
        <f t="shared" si="46"/>
        <v>33.915999999999997</v>
      </c>
      <c r="AC117" s="41">
        <f t="shared" si="47"/>
        <v>33.915999999999997</v>
      </c>
      <c r="AD117" s="41">
        <f t="shared" si="48"/>
        <v>33.915999999999997</v>
      </c>
      <c r="AE117" s="41">
        <f t="shared" si="49"/>
        <v>135.66399999999999</v>
      </c>
      <c r="AF117" s="41">
        <f t="shared" si="50"/>
        <v>0</v>
      </c>
      <c r="AG117" s="41">
        <f t="shared" si="53"/>
        <v>0</v>
      </c>
      <c r="AH117" s="41">
        <f t="shared" si="51"/>
        <v>0</v>
      </c>
    </row>
    <row r="118" spans="2:34" ht="15" customHeight="1" x14ac:dyDescent="0.3">
      <c r="B118" s="60" t="s">
        <v>183</v>
      </c>
      <c r="C118" s="48">
        <f>448.06-83.06</f>
        <v>365</v>
      </c>
      <c r="D118" s="48"/>
      <c r="E118" s="48"/>
      <c r="F118" s="48">
        <v>246.89</v>
      </c>
      <c r="G118" s="48">
        <v>41.92</v>
      </c>
      <c r="H118" s="48"/>
      <c r="I118" s="48"/>
      <c r="J118" s="49"/>
      <c r="K118" s="48">
        <f t="shared" si="54"/>
        <v>21.9</v>
      </c>
      <c r="L118" s="48"/>
      <c r="M118" s="48">
        <f t="shared" si="55"/>
        <v>653.80999999999995</v>
      </c>
      <c r="N118" s="41">
        <f t="shared" si="34"/>
        <v>156.91439999999997</v>
      </c>
      <c r="O118" s="41">
        <f t="shared" si="35"/>
        <v>51.75996051269999</v>
      </c>
      <c r="P118" s="41">
        <f t="shared" si="36"/>
        <v>43.587335512699994</v>
      </c>
      <c r="Q118" s="41">
        <f t="shared" si="37"/>
        <v>51.75996051269999</v>
      </c>
      <c r="R118" s="41">
        <f t="shared" si="38"/>
        <v>0</v>
      </c>
      <c r="S118" s="41">
        <f t="shared" si="39"/>
        <v>34.325024999999997</v>
      </c>
      <c r="T118" s="41">
        <f t="shared" si="40"/>
        <v>26.1524</v>
      </c>
      <c r="U118" s="41">
        <f t="shared" si="41"/>
        <v>13.0762</v>
      </c>
      <c r="V118" s="41">
        <f t="shared" si="52"/>
        <v>13.0762</v>
      </c>
      <c r="W118" s="41">
        <f t="shared" si="42"/>
        <v>26.1524</v>
      </c>
      <c r="X118" s="41">
        <f t="shared" si="43"/>
        <v>0</v>
      </c>
      <c r="Y118" s="41">
        <f t="shared" si="43"/>
        <v>0</v>
      </c>
      <c r="Z118" s="41">
        <f t="shared" si="44"/>
        <v>8.172625</v>
      </c>
      <c r="AA118" s="41">
        <f t="shared" si="45"/>
        <v>0</v>
      </c>
      <c r="AB118" s="41">
        <f t="shared" si="46"/>
        <v>32.6905</v>
      </c>
      <c r="AC118" s="41">
        <f t="shared" si="47"/>
        <v>32.6905</v>
      </c>
      <c r="AD118" s="41">
        <f t="shared" si="48"/>
        <v>32.6905</v>
      </c>
      <c r="AE118" s="41">
        <f t="shared" si="49"/>
        <v>130.762</v>
      </c>
      <c r="AF118" s="41">
        <f t="shared" si="50"/>
        <v>0</v>
      </c>
      <c r="AG118" s="41">
        <f t="shared" si="53"/>
        <v>0</v>
      </c>
      <c r="AH118" s="41">
        <f t="shared" si="51"/>
        <v>0</v>
      </c>
    </row>
    <row r="119" spans="2:34" ht="15" customHeight="1" x14ac:dyDescent="0.3">
      <c r="B119" s="60" t="s">
        <v>184</v>
      </c>
      <c r="C119" s="48">
        <v>0</v>
      </c>
      <c r="D119" s="48">
        <v>0</v>
      </c>
      <c r="E119" s="48">
        <v>0</v>
      </c>
      <c r="F119" s="48">
        <v>0</v>
      </c>
      <c r="G119" s="48">
        <v>0</v>
      </c>
      <c r="H119" s="48">
        <v>0</v>
      </c>
      <c r="I119" s="48">
        <v>0</v>
      </c>
      <c r="J119" s="49">
        <v>0</v>
      </c>
      <c r="K119" s="48">
        <f t="shared" si="54"/>
        <v>0</v>
      </c>
      <c r="L119" s="48">
        <v>0</v>
      </c>
      <c r="M119" s="48">
        <f t="shared" si="55"/>
        <v>0</v>
      </c>
      <c r="N119" s="41">
        <f t="shared" si="34"/>
        <v>0</v>
      </c>
      <c r="O119" s="41">
        <f t="shared" si="35"/>
        <v>0</v>
      </c>
      <c r="P119" s="41">
        <f t="shared" si="36"/>
        <v>0</v>
      </c>
      <c r="Q119" s="41">
        <f t="shared" si="37"/>
        <v>0</v>
      </c>
      <c r="R119" s="41">
        <f t="shared" si="38"/>
        <v>0</v>
      </c>
      <c r="S119" s="41">
        <f t="shared" si="39"/>
        <v>0</v>
      </c>
      <c r="T119" s="41">
        <f t="shared" si="40"/>
        <v>0</v>
      </c>
      <c r="U119" s="41">
        <f t="shared" si="41"/>
        <v>0</v>
      </c>
      <c r="V119" s="41">
        <f t="shared" si="52"/>
        <v>0</v>
      </c>
      <c r="W119" s="41">
        <f t="shared" si="42"/>
        <v>0</v>
      </c>
      <c r="X119" s="41">
        <f t="shared" si="43"/>
        <v>0</v>
      </c>
      <c r="Y119" s="41">
        <f t="shared" si="43"/>
        <v>0</v>
      </c>
      <c r="Z119" s="41">
        <f t="shared" si="44"/>
        <v>0</v>
      </c>
      <c r="AA119" s="41">
        <f t="shared" si="45"/>
        <v>0</v>
      </c>
      <c r="AB119" s="41">
        <f t="shared" si="46"/>
        <v>0</v>
      </c>
      <c r="AC119" s="41">
        <f t="shared" si="47"/>
        <v>0</v>
      </c>
      <c r="AD119" s="41">
        <f t="shared" si="48"/>
        <v>0</v>
      </c>
      <c r="AE119" s="41">
        <f t="shared" si="49"/>
        <v>0</v>
      </c>
      <c r="AF119" s="41">
        <f t="shared" si="50"/>
        <v>0</v>
      </c>
      <c r="AG119" s="41">
        <f t="shared" si="53"/>
        <v>0</v>
      </c>
      <c r="AH119" s="41">
        <f t="shared" si="51"/>
        <v>0</v>
      </c>
    </row>
    <row r="120" spans="2:34" ht="15" customHeight="1" x14ac:dyDescent="0.3">
      <c r="B120" s="60" t="s">
        <v>185</v>
      </c>
      <c r="C120" s="48">
        <v>622.61</v>
      </c>
      <c r="D120" s="48">
        <v>0</v>
      </c>
      <c r="E120" s="48">
        <v>0</v>
      </c>
      <c r="F120" s="48">
        <v>363.13</v>
      </c>
      <c r="G120" s="48">
        <v>65.599999999999994</v>
      </c>
      <c r="H120" s="48">
        <v>0</v>
      </c>
      <c r="I120" s="48">
        <v>0</v>
      </c>
      <c r="J120" s="49">
        <v>0</v>
      </c>
      <c r="K120" s="48">
        <f t="shared" si="54"/>
        <v>37.3566</v>
      </c>
      <c r="L120" s="48">
        <v>0</v>
      </c>
      <c r="M120" s="48">
        <f t="shared" si="55"/>
        <v>1051.3399999999999</v>
      </c>
      <c r="N120" s="41">
        <f t="shared" si="34"/>
        <v>252.32159999999996</v>
      </c>
      <c r="O120" s="41">
        <f t="shared" si="35"/>
        <v>83.231086837799992</v>
      </c>
      <c r="P120" s="41">
        <f t="shared" si="36"/>
        <v>70.089336837799991</v>
      </c>
      <c r="Q120" s="41">
        <f t="shared" si="37"/>
        <v>83.231086837799992</v>
      </c>
      <c r="R120" s="41">
        <f t="shared" si="38"/>
        <v>0</v>
      </c>
      <c r="S120" s="41">
        <f t="shared" si="39"/>
        <v>55.195349999999991</v>
      </c>
      <c r="T120" s="41">
        <f t="shared" si="40"/>
        <v>42.053599999999996</v>
      </c>
      <c r="U120" s="41">
        <f t="shared" si="41"/>
        <v>21.026799999999998</v>
      </c>
      <c r="V120" s="41">
        <f t="shared" si="52"/>
        <v>21.026799999999998</v>
      </c>
      <c r="W120" s="41">
        <f t="shared" si="42"/>
        <v>42.053599999999996</v>
      </c>
      <c r="X120" s="41">
        <f t="shared" si="43"/>
        <v>0</v>
      </c>
      <c r="Y120" s="41">
        <f t="shared" si="43"/>
        <v>0</v>
      </c>
      <c r="Z120" s="41">
        <f t="shared" si="44"/>
        <v>13.14175</v>
      </c>
      <c r="AA120" s="41">
        <f t="shared" si="45"/>
        <v>0</v>
      </c>
      <c r="AB120" s="41">
        <f t="shared" si="46"/>
        <v>52.567</v>
      </c>
      <c r="AC120" s="41">
        <f t="shared" si="47"/>
        <v>52.567</v>
      </c>
      <c r="AD120" s="41">
        <f t="shared" si="48"/>
        <v>52.567</v>
      </c>
      <c r="AE120" s="41">
        <f t="shared" si="49"/>
        <v>210.268</v>
      </c>
      <c r="AF120" s="41">
        <f t="shared" si="50"/>
        <v>0</v>
      </c>
      <c r="AG120" s="41">
        <f t="shared" si="53"/>
        <v>0</v>
      </c>
      <c r="AH120" s="41">
        <f t="shared" si="51"/>
        <v>0</v>
      </c>
    </row>
    <row r="121" spans="2:34" ht="15" customHeight="1" x14ac:dyDescent="0.3">
      <c r="B121" s="60" t="s">
        <v>186</v>
      </c>
      <c r="C121" s="48">
        <v>0</v>
      </c>
      <c r="D121" s="48">
        <v>0</v>
      </c>
      <c r="E121" s="48">
        <v>0</v>
      </c>
      <c r="F121" s="48">
        <v>0</v>
      </c>
      <c r="G121" s="48">
        <v>0</v>
      </c>
      <c r="H121" s="48">
        <v>0</v>
      </c>
      <c r="I121" s="48">
        <v>0</v>
      </c>
      <c r="J121" s="49">
        <v>0</v>
      </c>
      <c r="K121" s="48">
        <f t="shared" si="54"/>
        <v>0</v>
      </c>
      <c r="L121" s="48">
        <v>0</v>
      </c>
      <c r="M121" s="48">
        <f t="shared" si="55"/>
        <v>0</v>
      </c>
      <c r="N121" s="41">
        <f t="shared" si="34"/>
        <v>0</v>
      </c>
      <c r="O121" s="41">
        <f t="shared" si="35"/>
        <v>0</v>
      </c>
      <c r="P121" s="41">
        <f t="shared" si="36"/>
        <v>0</v>
      </c>
      <c r="Q121" s="41">
        <f t="shared" si="37"/>
        <v>0</v>
      </c>
      <c r="R121" s="41">
        <f t="shared" si="38"/>
        <v>0</v>
      </c>
      <c r="S121" s="41">
        <f t="shared" si="39"/>
        <v>0</v>
      </c>
      <c r="T121" s="41">
        <f t="shared" si="40"/>
        <v>0</v>
      </c>
      <c r="U121" s="41">
        <f t="shared" si="41"/>
        <v>0</v>
      </c>
      <c r="V121" s="41">
        <f t="shared" si="52"/>
        <v>0</v>
      </c>
      <c r="W121" s="41">
        <f t="shared" si="42"/>
        <v>0</v>
      </c>
      <c r="X121" s="41">
        <f t="shared" si="43"/>
        <v>0</v>
      </c>
      <c r="Y121" s="41">
        <f t="shared" si="43"/>
        <v>0</v>
      </c>
      <c r="Z121" s="41">
        <f t="shared" si="44"/>
        <v>0</v>
      </c>
      <c r="AA121" s="41">
        <f t="shared" si="45"/>
        <v>0</v>
      </c>
      <c r="AB121" s="41">
        <f t="shared" si="46"/>
        <v>0</v>
      </c>
      <c r="AC121" s="41">
        <f t="shared" si="47"/>
        <v>0</v>
      </c>
      <c r="AD121" s="41">
        <f t="shared" si="48"/>
        <v>0</v>
      </c>
      <c r="AE121" s="41">
        <f t="shared" si="49"/>
        <v>0</v>
      </c>
      <c r="AF121" s="41">
        <f t="shared" si="50"/>
        <v>0</v>
      </c>
      <c r="AG121" s="41">
        <f t="shared" si="53"/>
        <v>0</v>
      </c>
      <c r="AH121" s="41">
        <f t="shared" si="51"/>
        <v>0</v>
      </c>
    </row>
    <row r="122" spans="2:34" ht="15" customHeight="1" x14ac:dyDescent="0.3">
      <c r="B122" s="60" t="s">
        <v>187</v>
      </c>
      <c r="C122" s="48">
        <v>527.39</v>
      </c>
      <c r="D122" s="48">
        <v>0</v>
      </c>
      <c r="E122" s="48">
        <v>0</v>
      </c>
      <c r="F122" s="48">
        <v>359.67</v>
      </c>
      <c r="G122" s="48">
        <v>64.989999999999995</v>
      </c>
      <c r="H122" s="48">
        <v>0</v>
      </c>
      <c r="I122" s="48">
        <v>0</v>
      </c>
      <c r="J122" s="49">
        <v>0</v>
      </c>
      <c r="K122" s="48">
        <f t="shared" si="54"/>
        <v>31.6434</v>
      </c>
      <c r="L122" s="48">
        <v>0</v>
      </c>
      <c r="M122" s="48">
        <f t="shared" si="55"/>
        <v>952.05</v>
      </c>
      <c r="N122" s="41">
        <f t="shared" si="34"/>
        <v>228.49199999999999</v>
      </c>
      <c r="O122" s="41">
        <f t="shared" si="35"/>
        <v>75.370628173499995</v>
      </c>
      <c r="P122" s="41">
        <f t="shared" si="36"/>
        <v>63.470003173499997</v>
      </c>
      <c r="Q122" s="41">
        <f t="shared" si="37"/>
        <v>75.370628173499995</v>
      </c>
      <c r="R122" s="41">
        <f t="shared" si="38"/>
        <v>0</v>
      </c>
      <c r="S122" s="41">
        <f t="shared" si="39"/>
        <v>49.982624999999999</v>
      </c>
      <c r="T122" s="41">
        <f t="shared" si="40"/>
        <v>38.082000000000001</v>
      </c>
      <c r="U122" s="41">
        <f t="shared" si="41"/>
        <v>19.041</v>
      </c>
      <c r="V122" s="41">
        <f t="shared" si="52"/>
        <v>19.041</v>
      </c>
      <c r="W122" s="41">
        <f t="shared" si="42"/>
        <v>38.082000000000001</v>
      </c>
      <c r="X122" s="41">
        <f t="shared" si="43"/>
        <v>0</v>
      </c>
      <c r="Y122" s="41">
        <f t="shared" si="43"/>
        <v>0</v>
      </c>
      <c r="Z122" s="41">
        <f t="shared" si="44"/>
        <v>11.900625</v>
      </c>
      <c r="AA122" s="41">
        <f t="shared" si="45"/>
        <v>0</v>
      </c>
      <c r="AB122" s="41">
        <f t="shared" si="46"/>
        <v>47.602499999999999</v>
      </c>
      <c r="AC122" s="41">
        <f t="shared" si="47"/>
        <v>47.602499999999999</v>
      </c>
      <c r="AD122" s="41">
        <f t="shared" si="48"/>
        <v>47.602499999999999</v>
      </c>
      <c r="AE122" s="41">
        <f t="shared" si="49"/>
        <v>190.41</v>
      </c>
      <c r="AF122" s="41">
        <f t="shared" si="50"/>
        <v>0</v>
      </c>
      <c r="AG122" s="41">
        <f t="shared" si="53"/>
        <v>0</v>
      </c>
      <c r="AH122" s="41">
        <f t="shared" si="51"/>
        <v>0</v>
      </c>
    </row>
    <row r="123" spans="2:34" ht="15" customHeight="1" x14ac:dyDescent="0.3">
      <c r="B123" s="60" t="s">
        <v>36</v>
      </c>
      <c r="C123" s="48">
        <f>461.66</f>
        <v>461.66</v>
      </c>
      <c r="D123" s="48">
        <v>60.01</v>
      </c>
      <c r="E123" s="48">
        <v>0</v>
      </c>
      <c r="F123" s="48">
        <v>371.03</v>
      </c>
      <c r="G123" s="48">
        <v>64.25</v>
      </c>
      <c r="H123" s="48">
        <v>0</v>
      </c>
      <c r="I123" s="48">
        <v>0</v>
      </c>
      <c r="J123" s="49">
        <v>0</v>
      </c>
      <c r="K123" s="48">
        <f t="shared" si="54"/>
        <v>31.300200000000004</v>
      </c>
      <c r="L123" s="48">
        <v>0</v>
      </c>
      <c r="M123" s="48">
        <f t="shared" si="55"/>
        <v>956.95</v>
      </c>
      <c r="N123" s="41">
        <f t="shared" si="34"/>
        <v>229.66800000000001</v>
      </c>
      <c r="O123" s="41">
        <f t="shared" si="35"/>
        <v>75.758544856499995</v>
      </c>
      <c r="P123" s="41">
        <f t="shared" si="36"/>
        <v>63.796669856500003</v>
      </c>
      <c r="Q123" s="41">
        <f t="shared" si="37"/>
        <v>75.758544856499995</v>
      </c>
      <c r="R123" s="41">
        <f t="shared" si="38"/>
        <v>0</v>
      </c>
      <c r="S123" s="41">
        <f t="shared" si="39"/>
        <v>50.239874999999998</v>
      </c>
      <c r="T123" s="41">
        <f t="shared" si="40"/>
        <v>38.278000000000006</v>
      </c>
      <c r="U123" s="41">
        <f t="shared" si="41"/>
        <v>19.139000000000003</v>
      </c>
      <c r="V123" s="41">
        <f t="shared" si="52"/>
        <v>19.139000000000003</v>
      </c>
      <c r="W123" s="41">
        <f t="shared" si="42"/>
        <v>38.278000000000006</v>
      </c>
      <c r="X123" s="41">
        <f t="shared" si="43"/>
        <v>0</v>
      </c>
      <c r="Y123" s="41">
        <f t="shared" si="43"/>
        <v>0</v>
      </c>
      <c r="Z123" s="41">
        <f t="shared" si="44"/>
        <v>11.961875000000001</v>
      </c>
      <c r="AA123" s="41">
        <f t="shared" si="45"/>
        <v>0</v>
      </c>
      <c r="AB123" s="41">
        <f t="shared" si="46"/>
        <v>47.847500000000004</v>
      </c>
      <c r="AC123" s="41">
        <f t="shared" si="47"/>
        <v>47.847500000000004</v>
      </c>
      <c r="AD123" s="41">
        <f t="shared" si="48"/>
        <v>47.847500000000004</v>
      </c>
      <c r="AE123" s="41">
        <f t="shared" si="49"/>
        <v>191.39000000000001</v>
      </c>
      <c r="AF123" s="41">
        <f t="shared" si="50"/>
        <v>0</v>
      </c>
      <c r="AG123" s="41">
        <f t="shared" si="53"/>
        <v>0</v>
      </c>
      <c r="AH123" s="41">
        <f t="shared" si="51"/>
        <v>0</v>
      </c>
    </row>
    <row r="124" spans="2:34" ht="15" customHeight="1" x14ac:dyDescent="0.3">
      <c r="B124" s="60" t="s">
        <v>188</v>
      </c>
      <c r="C124" s="48">
        <v>0</v>
      </c>
      <c r="D124" s="48">
        <v>0</v>
      </c>
      <c r="E124" s="48"/>
      <c r="F124" s="48">
        <v>0</v>
      </c>
      <c r="G124" s="48">
        <v>0</v>
      </c>
      <c r="H124" s="48"/>
      <c r="I124" s="48"/>
      <c r="J124" s="49"/>
      <c r="K124" s="48">
        <f t="shared" si="54"/>
        <v>0</v>
      </c>
      <c r="L124" s="48"/>
      <c r="M124" s="48">
        <f t="shared" si="55"/>
        <v>0</v>
      </c>
      <c r="N124" s="41">
        <f t="shared" si="34"/>
        <v>0</v>
      </c>
      <c r="O124" s="41">
        <f t="shared" si="35"/>
        <v>0</v>
      </c>
      <c r="P124" s="41">
        <f t="shared" si="36"/>
        <v>0</v>
      </c>
      <c r="Q124" s="41">
        <f t="shared" si="37"/>
        <v>0</v>
      </c>
      <c r="R124" s="41">
        <f t="shared" si="38"/>
        <v>0</v>
      </c>
      <c r="S124" s="41">
        <f t="shared" si="39"/>
        <v>0</v>
      </c>
      <c r="T124" s="41">
        <f t="shared" si="40"/>
        <v>0</v>
      </c>
      <c r="U124" s="41">
        <f t="shared" si="41"/>
        <v>0</v>
      </c>
      <c r="V124" s="41">
        <f t="shared" si="52"/>
        <v>0</v>
      </c>
      <c r="W124" s="41">
        <f t="shared" si="42"/>
        <v>0</v>
      </c>
      <c r="X124" s="41">
        <f t="shared" si="43"/>
        <v>0</v>
      </c>
      <c r="Y124" s="41">
        <f t="shared" si="43"/>
        <v>0</v>
      </c>
      <c r="Z124" s="41">
        <f t="shared" si="44"/>
        <v>0</v>
      </c>
      <c r="AA124" s="41">
        <f t="shared" si="45"/>
        <v>0</v>
      </c>
      <c r="AB124" s="41">
        <f t="shared" si="46"/>
        <v>0</v>
      </c>
      <c r="AC124" s="41">
        <f t="shared" si="47"/>
        <v>0</v>
      </c>
      <c r="AD124" s="41">
        <f t="shared" si="48"/>
        <v>0</v>
      </c>
      <c r="AE124" s="41">
        <f t="shared" si="49"/>
        <v>0</v>
      </c>
      <c r="AF124" s="41">
        <f t="shared" si="50"/>
        <v>0</v>
      </c>
      <c r="AG124" s="41">
        <f t="shared" si="53"/>
        <v>0</v>
      </c>
      <c r="AH124" s="41">
        <f t="shared" si="51"/>
        <v>0</v>
      </c>
    </row>
    <row r="125" spans="2:34" ht="15" customHeight="1" x14ac:dyDescent="0.3">
      <c r="B125" s="60" t="s">
        <v>189</v>
      </c>
      <c r="C125" s="48">
        <v>424.18</v>
      </c>
      <c r="D125" s="48">
        <v>0</v>
      </c>
      <c r="E125" s="48">
        <v>0</v>
      </c>
      <c r="F125" s="48">
        <v>388.63</v>
      </c>
      <c r="G125" s="48">
        <v>73.22</v>
      </c>
      <c r="H125" s="48">
        <v>0</v>
      </c>
      <c r="I125" s="48">
        <v>0</v>
      </c>
      <c r="J125" s="49">
        <v>0</v>
      </c>
      <c r="K125" s="48">
        <f t="shared" si="54"/>
        <v>25.450800000000001</v>
      </c>
      <c r="L125" s="48">
        <v>0</v>
      </c>
      <c r="M125" s="48">
        <f t="shared" si="55"/>
        <v>886.03</v>
      </c>
      <c r="N125" s="41">
        <f t="shared" si="34"/>
        <v>212.6472</v>
      </c>
      <c r="O125" s="41">
        <f t="shared" si="35"/>
        <v>70.14404462009999</v>
      </c>
      <c r="P125" s="41">
        <f t="shared" si="36"/>
        <v>59.068669620099996</v>
      </c>
      <c r="Q125" s="41">
        <f t="shared" si="37"/>
        <v>70.14404462009999</v>
      </c>
      <c r="R125" s="41">
        <f t="shared" si="38"/>
        <v>0</v>
      </c>
      <c r="S125" s="41">
        <f t="shared" si="39"/>
        <v>46.516574999999996</v>
      </c>
      <c r="T125" s="41">
        <f t="shared" si="40"/>
        <v>35.441200000000002</v>
      </c>
      <c r="U125" s="41">
        <f t="shared" si="41"/>
        <v>17.720600000000001</v>
      </c>
      <c r="V125" s="41">
        <f t="shared" si="52"/>
        <v>17.720600000000001</v>
      </c>
      <c r="W125" s="41">
        <f t="shared" si="42"/>
        <v>35.441200000000002</v>
      </c>
      <c r="X125" s="41">
        <f t="shared" si="43"/>
        <v>0</v>
      </c>
      <c r="Y125" s="41">
        <f t="shared" si="43"/>
        <v>0</v>
      </c>
      <c r="Z125" s="41">
        <f t="shared" si="44"/>
        <v>11.075375000000001</v>
      </c>
      <c r="AA125" s="41">
        <f t="shared" si="45"/>
        <v>0</v>
      </c>
      <c r="AB125" s="41">
        <f t="shared" si="46"/>
        <v>44.301500000000004</v>
      </c>
      <c r="AC125" s="41">
        <f t="shared" si="47"/>
        <v>44.301500000000004</v>
      </c>
      <c r="AD125" s="41">
        <f t="shared" si="48"/>
        <v>44.301500000000004</v>
      </c>
      <c r="AE125" s="41">
        <f t="shared" si="49"/>
        <v>177.20600000000002</v>
      </c>
      <c r="AF125" s="41">
        <f t="shared" si="50"/>
        <v>0</v>
      </c>
      <c r="AG125" s="41">
        <f t="shared" si="53"/>
        <v>0</v>
      </c>
      <c r="AH125" s="41">
        <f t="shared" si="51"/>
        <v>0</v>
      </c>
    </row>
    <row r="126" spans="2:34" ht="15" customHeight="1" x14ac:dyDescent="0.3">
      <c r="B126" s="60" t="s">
        <v>190</v>
      </c>
      <c r="C126" s="48"/>
      <c r="D126" s="48"/>
      <c r="E126" s="48"/>
      <c r="F126" s="48">
        <v>0</v>
      </c>
      <c r="G126" s="48">
        <v>0</v>
      </c>
      <c r="H126" s="48"/>
      <c r="I126" s="48"/>
      <c r="J126" s="49"/>
      <c r="K126" s="48">
        <f t="shared" si="54"/>
        <v>0</v>
      </c>
      <c r="L126" s="48"/>
      <c r="M126" s="48">
        <f t="shared" si="55"/>
        <v>0</v>
      </c>
      <c r="N126" s="41">
        <f t="shared" si="34"/>
        <v>0</v>
      </c>
      <c r="O126" s="41">
        <f t="shared" si="35"/>
        <v>0</v>
      </c>
      <c r="P126" s="41">
        <f t="shared" si="36"/>
        <v>0</v>
      </c>
      <c r="Q126" s="41">
        <f t="shared" si="37"/>
        <v>0</v>
      </c>
      <c r="R126" s="41">
        <f t="shared" si="38"/>
        <v>0</v>
      </c>
      <c r="S126" s="41">
        <f t="shared" si="39"/>
        <v>0</v>
      </c>
      <c r="T126" s="41">
        <f t="shared" si="40"/>
        <v>0</v>
      </c>
      <c r="U126" s="41">
        <f t="shared" si="41"/>
        <v>0</v>
      </c>
      <c r="V126" s="41">
        <f t="shared" si="52"/>
        <v>0</v>
      </c>
      <c r="W126" s="41">
        <f t="shared" si="42"/>
        <v>0</v>
      </c>
      <c r="X126" s="41">
        <f t="shared" si="43"/>
        <v>0</v>
      </c>
      <c r="Y126" s="41">
        <f t="shared" si="43"/>
        <v>0</v>
      </c>
      <c r="Z126" s="41">
        <f t="shared" si="44"/>
        <v>0</v>
      </c>
      <c r="AA126" s="41">
        <f t="shared" si="45"/>
        <v>0</v>
      </c>
      <c r="AB126" s="41">
        <f t="shared" si="46"/>
        <v>0</v>
      </c>
      <c r="AC126" s="41">
        <f t="shared" si="47"/>
        <v>0</v>
      </c>
      <c r="AD126" s="41">
        <f t="shared" si="48"/>
        <v>0</v>
      </c>
      <c r="AE126" s="41">
        <f t="shared" si="49"/>
        <v>0</v>
      </c>
      <c r="AF126" s="41">
        <f t="shared" si="50"/>
        <v>0</v>
      </c>
      <c r="AG126" s="41">
        <f t="shared" si="53"/>
        <v>0</v>
      </c>
      <c r="AH126" s="41">
        <f t="shared" si="51"/>
        <v>0</v>
      </c>
    </row>
    <row r="127" spans="2:34" ht="15" customHeight="1" x14ac:dyDescent="0.3">
      <c r="B127" s="60" t="s">
        <v>191</v>
      </c>
      <c r="C127" s="48">
        <v>479.83</v>
      </c>
      <c r="D127" s="48">
        <v>0</v>
      </c>
      <c r="E127" s="48">
        <v>0</v>
      </c>
      <c r="F127" s="48">
        <v>208.84</v>
      </c>
      <c r="G127" s="48">
        <v>39.909999999999997</v>
      </c>
      <c r="H127" s="48">
        <v>0</v>
      </c>
      <c r="I127" s="48">
        <v>0</v>
      </c>
      <c r="J127" s="49">
        <v>0</v>
      </c>
      <c r="K127" s="48">
        <f t="shared" si="54"/>
        <v>28.7898</v>
      </c>
      <c r="L127" s="48">
        <v>0</v>
      </c>
      <c r="M127" s="48">
        <f t="shared" si="55"/>
        <v>728.57999999999993</v>
      </c>
      <c r="N127" s="41">
        <f t="shared" si="34"/>
        <v>174.85919999999999</v>
      </c>
      <c r="O127" s="41">
        <f t="shared" si="35"/>
        <v>57.679252428599987</v>
      </c>
      <c r="P127" s="41">
        <f t="shared" si="36"/>
        <v>48.572002428599994</v>
      </c>
      <c r="Q127" s="41">
        <f t="shared" si="37"/>
        <v>57.679252428599987</v>
      </c>
      <c r="R127" s="41">
        <f t="shared" si="38"/>
        <v>0</v>
      </c>
      <c r="S127" s="41">
        <f t="shared" si="39"/>
        <v>38.250449999999994</v>
      </c>
      <c r="T127" s="41">
        <f t="shared" si="40"/>
        <v>29.143199999999997</v>
      </c>
      <c r="U127" s="41">
        <f t="shared" si="41"/>
        <v>14.571599999999998</v>
      </c>
      <c r="V127" s="41">
        <f t="shared" si="52"/>
        <v>14.571599999999998</v>
      </c>
      <c r="W127" s="41">
        <f t="shared" si="42"/>
        <v>29.143199999999997</v>
      </c>
      <c r="X127" s="41">
        <f t="shared" si="43"/>
        <v>0</v>
      </c>
      <c r="Y127" s="41">
        <f t="shared" si="43"/>
        <v>0</v>
      </c>
      <c r="Z127" s="41">
        <f t="shared" si="44"/>
        <v>9.1072499999999987</v>
      </c>
      <c r="AA127" s="41">
        <f t="shared" si="45"/>
        <v>0</v>
      </c>
      <c r="AB127" s="41">
        <f t="shared" si="46"/>
        <v>36.428999999999995</v>
      </c>
      <c r="AC127" s="41">
        <f t="shared" si="47"/>
        <v>36.428999999999995</v>
      </c>
      <c r="AD127" s="41">
        <f t="shared" si="48"/>
        <v>36.428999999999995</v>
      </c>
      <c r="AE127" s="41">
        <f t="shared" si="49"/>
        <v>145.71599999999998</v>
      </c>
      <c r="AF127" s="41">
        <f t="shared" si="50"/>
        <v>0</v>
      </c>
      <c r="AG127" s="41">
        <f t="shared" si="53"/>
        <v>0</v>
      </c>
      <c r="AH127" s="41">
        <f t="shared" si="51"/>
        <v>0</v>
      </c>
    </row>
    <row r="128" spans="2:34" ht="15" customHeight="1" x14ac:dyDescent="0.3">
      <c r="B128" s="60" t="s">
        <v>192</v>
      </c>
      <c r="C128" s="48">
        <v>0</v>
      </c>
      <c r="D128" s="48">
        <v>0</v>
      </c>
      <c r="E128" s="48">
        <v>0</v>
      </c>
      <c r="F128" s="48">
        <v>0</v>
      </c>
      <c r="G128" s="48">
        <v>0</v>
      </c>
      <c r="H128" s="48">
        <v>0</v>
      </c>
      <c r="I128" s="48">
        <v>0</v>
      </c>
      <c r="J128" s="49">
        <v>0</v>
      </c>
      <c r="K128" s="48">
        <f t="shared" si="54"/>
        <v>0</v>
      </c>
      <c r="L128" s="48">
        <v>0</v>
      </c>
      <c r="M128" s="48">
        <f t="shared" si="55"/>
        <v>0</v>
      </c>
      <c r="N128" s="41">
        <f t="shared" si="34"/>
        <v>0</v>
      </c>
      <c r="O128" s="41">
        <f t="shared" si="35"/>
        <v>0</v>
      </c>
      <c r="P128" s="41">
        <f t="shared" si="36"/>
        <v>0</v>
      </c>
      <c r="Q128" s="41">
        <f t="shared" si="37"/>
        <v>0</v>
      </c>
      <c r="R128" s="41">
        <f t="shared" si="38"/>
        <v>0</v>
      </c>
      <c r="S128" s="41">
        <f t="shared" si="39"/>
        <v>0</v>
      </c>
      <c r="T128" s="41">
        <f t="shared" si="40"/>
        <v>0</v>
      </c>
      <c r="U128" s="41">
        <f t="shared" si="41"/>
        <v>0</v>
      </c>
      <c r="V128" s="41">
        <f t="shared" si="52"/>
        <v>0</v>
      </c>
      <c r="W128" s="41">
        <f t="shared" si="42"/>
        <v>0</v>
      </c>
      <c r="X128" s="41">
        <f t="shared" si="43"/>
        <v>0</v>
      </c>
      <c r="Y128" s="41">
        <f t="shared" si="43"/>
        <v>0</v>
      </c>
      <c r="Z128" s="41">
        <f t="shared" si="44"/>
        <v>0</v>
      </c>
      <c r="AA128" s="41">
        <f t="shared" si="45"/>
        <v>0</v>
      </c>
      <c r="AB128" s="41">
        <f t="shared" si="46"/>
        <v>0</v>
      </c>
      <c r="AC128" s="41">
        <f t="shared" si="47"/>
        <v>0</v>
      </c>
      <c r="AD128" s="41">
        <f t="shared" si="48"/>
        <v>0</v>
      </c>
      <c r="AE128" s="41">
        <f t="shared" si="49"/>
        <v>0</v>
      </c>
      <c r="AF128" s="41">
        <f t="shared" si="50"/>
        <v>0</v>
      </c>
      <c r="AG128" s="41">
        <f t="shared" si="53"/>
        <v>0</v>
      </c>
      <c r="AH128" s="41">
        <f t="shared" si="51"/>
        <v>0</v>
      </c>
    </row>
    <row r="129" spans="2:34" ht="15" customHeight="1" x14ac:dyDescent="0.3">
      <c r="B129" s="60" t="s">
        <v>193</v>
      </c>
      <c r="C129" s="48">
        <v>473.76</v>
      </c>
      <c r="D129" s="48">
        <v>0</v>
      </c>
      <c r="E129" s="48"/>
      <c r="F129" s="48">
        <v>260.04000000000002</v>
      </c>
      <c r="G129" s="48">
        <v>49.69</v>
      </c>
      <c r="H129" s="48"/>
      <c r="I129" s="48"/>
      <c r="J129" s="49"/>
      <c r="K129" s="48">
        <f t="shared" si="54"/>
        <v>28.425599999999999</v>
      </c>
      <c r="L129" s="48">
        <v>0</v>
      </c>
      <c r="M129" s="48">
        <f t="shared" si="55"/>
        <v>783.49</v>
      </c>
      <c r="N129" s="41">
        <f t="shared" si="34"/>
        <v>188.0376</v>
      </c>
      <c r="O129" s="41">
        <f t="shared" si="35"/>
        <v>62.0262942783</v>
      </c>
      <c r="P129" s="41">
        <f t="shared" si="36"/>
        <v>52.232669278300001</v>
      </c>
      <c r="Q129" s="41">
        <f t="shared" si="37"/>
        <v>62.0262942783</v>
      </c>
      <c r="R129" s="41">
        <f t="shared" si="38"/>
        <v>0</v>
      </c>
      <c r="S129" s="41">
        <f t="shared" si="39"/>
        <v>41.133224999999996</v>
      </c>
      <c r="T129" s="41">
        <f t="shared" si="40"/>
        <v>31.339600000000001</v>
      </c>
      <c r="U129" s="41">
        <f t="shared" si="41"/>
        <v>15.6698</v>
      </c>
      <c r="V129" s="41">
        <f t="shared" si="52"/>
        <v>15.6698</v>
      </c>
      <c r="W129" s="41">
        <f t="shared" si="42"/>
        <v>31.339600000000001</v>
      </c>
      <c r="X129" s="41">
        <f t="shared" si="43"/>
        <v>0</v>
      </c>
      <c r="Y129" s="41">
        <f t="shared" si="43"/>
        <v>0</v>
      </c>
      <c r="Z129" s="41">
        <f t="shared" si="44"/>
        <v>9.7936250000000005</v>
      </c>
      <c r="AA129" s="41">
        <f t="shared" si="45"/>
        <v>0</v>
      </c>
      <c r="AB129" s="41">
        <f t="shared" si="46"/>
        <v>39.174500000000002</v>
      </c>
      <c r="AC129" s="41">
        <f t="shared" si="47"/>
        <v>39.174500000000002</v>
      </c>
      <c r="AD129" s="41">
        <f t="shared" si="48"/>
        <v>39.174500000000002</v>
      </c>
      <c r="AE129" s="41">
        <f t="shared" si="49"/>
        <v>156.69800000000001</v>
      </c>
      <c r="AF129" s="41">
        <f t="shared" si="50"/>
        <v>0</v>
      </c>
      <c r="AG129" s="41">
        <f t="shared" si="53"/>
        <v>0</v>
      </c>
      <c r="AH129" s="41">
        <f t="shared" si="51"/>
        <v>0</v>
      </c>
    </row>
    <row r="130" spans="2:34" ht="15" customHeight="1" x14ac:dyDescent="0.3">
      <c r="B130" s="60" t="s">
        <v>194</v>
      </c>
      <c r="C130" s="48">
        <v>447.53</v>
      </c>
      <c r="D130" s="48">
        <v>0</v>
      </c>
      <c r="E130" s="48">
        <v>0</v>
      </c>
      <c r="F130" s="48">
        <v>194.61</v>
      </c>
      <c r="G130" s="48">
        <v>33.06</v>
      </c>
      <c r="H130" s="48">
        <v>0</v>
      </c>
      <c r="I130" s="48">
        <v>0</v>
      </c>
      <c r="J130" s="49">
        <v>0</v>
      </c>
      <c r="K130" s="48">
        <f t="shared" si="54"/>
        <v>26.851799999999997</v>
      </c>
      <c r="L130" s="48">
        <v>0</v>
      </c>
      <c r="M130" s="48">
        <f t="shared" si="55"/>
        <v>675.2</v>
      </c>
      <c r="N130" s="41">
        <f t="shared" si="34"/>
        <v>162.048</v>
      </c>
      <c r="O130" s="41">
        <f t="shared" si="35"/>
        <v>53.453335584000001</v>
      </c>
      <c r="P130" s="41">
        <f t="shared" si="36"/>
        <v>45.013335584000004</v>
      </c>
      <c r="Q130" s="41">
        <f t="shared" si="37"/>
        <v>53.453335584000001</v>
      </c>
      <c r="R130" s="41">
        <f t="shared" si="38"/>
        <v>0</v>
      </c>
      <c r="S130" s="41">
        <f t="shared" si="39"/>
        <v>35.448</v>
      </c>
      <c r="T130" s="41">
        <f t="shared" si="40"/>
        <v>27.008000000000003</v>
      </c>
      <c r="U130" s="41">
        <f t="shared" si="41"/>
        <v>13.504000000000001</v>
      </c>
      <c r="V130" s="41">
        <f t="shared" si="52"/>
        <v>13.504000000000001</v>
      </c>
      <c r="W130" s="41">
        <f t="shared" si="42"/>
        <v>27.008000000000003</v>
      </c>
      <c r="X130" s="41">
        <f t="shared" si="43"/>
        <v>0</v>
      </c>
      <c r="Y130" s="41">
        <f t="shared" si="43"/>
        <v>0</v>
      </c>
      <c r="Z130" s="41">
        <f t="shared" si="44"/>
        <v>8.4400000000000013</v>
      </c>
      <c r="AA130" s="41">
        <f t="shared" si="45"/>
        <v>0</v>
      </c>
      <c r="AB130" s="41">
        <f t="shared" si="46"/>
        <v>33.760000000000005</v>
      </c>
      <c r="AC130" s="41">
        <f t="shared" si="47"/>
        <v>33.760000000000005</v>
      </c>
      <c r="AD130" s="41">
        <f t="shared" si="48"/>
        <v>33.760000000000005</v>
      </c>
      <c r="AE130" s="41">
        <f t="shared" si="49"/>
        <v>135.04000000000002</v>
      </c>
      <c r="AF130" s="41">
        <f t="shared" si="50"/>
        <v>0</v>
      </c>
      <c r="AG130" s="41">
        <f t="shared" si="53"/>
        <v>0</v>
      </c>
      <c r="AH130" s="41">
        <f t="shared" si="51"/>
        <v>0</v>
      </c>
    </row>
    <row r="131" spans="2:34" ht="15" customHeight="1" x14ac:dyDescent="0.3">
      <c r="B131" s="60" t="s">
        <v>37</v>
      </c>
      <c r="C131" s="48">
        <v>449.27</v>
      </c>
      <c r="D131" s="48">
        <v>54.06</v>
      </c>
      <c r="E131" s="48">
        <v>0</v>
      </c>
      <c r="F131" s="48">
        <v>246.89</v>
      </c>
      <c r="G131" s="48">
        <v>41.94</v>
      </c>
      <c r="H131" s="48">
        <v>0</v>
      </c>
      <c r="I131" s="48">
        <v>0</v>
      </c>
      <c r="J131" s="49">
        <v>0</v>
      </c>
      <c r="K131" s="48">
        <f t="shared" si="54"/>
        <v>30.199799999999996</v>
      </c>
      <c r="L131" s="48">
        <v>0</v>
      </c>
      <c r="M131" s="48">
        <f t="shared" si="55"/>
        <v>792.16000000000008</v>
      </c>
      <c r="N131" s="41">
        <f t="shared" si="34"/>
        <v>190.11840000000001</v>
      </c>
      <c r="O131" s="41">
        <f t="shared" si="35"/>
        <v>62.712669307200002</v>
      </c>
      <c r="P131" s="41">
        <f t="shared" si="36"/>
        <v>52.810669307200001</v>
      </c>
      <c r="Q131" s="41">
        <f t="shared" si="37"/>
        <v>62.712669307200002</v>
      </c>
      <c r="R131" s="41">
        <f t="shared" si="38"/>
        <v>0</v>
      </c>
      <c r="S131" s="41">
        <f t="shared" si="39"/>
        <v>41.5884</v>
      </c>
      <c r="T131" s="41">
        <f t="shared" si="40"/>
        <v>31.686400000000003</v>
      </c>
      <c r="U131" s="41">
        <f t="shared" si="41"/>
        <v>15.843200000000001</v>
      </c>
      <c r="V131" s="41">
        <f t="shared" si="52"/>
        <v>15.843200000000001</v>
      </c>
      <c r="W131" s="41">
        <f t="shared" si="42"/>
        <v>31.686400000000003</v>
      </c>
      <c r="X131" s="41">
        <f t="shared" si="43"/>
        <v>0</v>
      </c>
      <c r="Y131" s="41">
        <f t="shared" si="43"/>
        <v>0</v>
      </c>
      <c r="Z131" s="41">
        <f t="shared" si="44"/>
        <v>9.902000000000001</v>
      </c>
      <c r="AA131" s="41">
        <f t="shared" si="45"/>
        <v>0</v>
      </c>
      <c r="AB131" s="41">
        <f t="shared" si="46"/>
        <v>39.608000000000004</v>
      </c>
      <c r="AC131" s="41">
        <f t="shared" si="47"/>
        <v>39.608000000000004</v>
      </c>
      <c r="AD131" s="41">
        <f t="shared" si="48"/>
        <v>39.608000000000004</v>
      </c>
      <c r="AE131" s="41">
        <f t="shared" si="49"/>
        <v>158.43200000000002</v>
      </c>
      <c r="AF131" s="41">
        <f t="shared" si="50"/>
        <v>0</v>
      </c>
      <c r="AG131" s="41">
        <f t="shared" si="53"/>
        <v>0</v>
      </c>
      <c r="AH131" s="41">
        <f t="shared" si="51"/>
        <v>0</v>
      </c>
    </row>
    <row r="132" spans="2:34" ht="15" customHeight="1" x14ac:dyDescent="0.3">
      <c r="B132" s="60" t="s">
        <v>38</v>
      </c>
      <c r="C132" s="48">
        <v>581.05999999999995</v>
      </c>
      <c r="D132" s="48">
        <v>0</v>
      </c>
      <c r="E132" s="48">
        <v>0</v>
      </c>
      <c r="F132" s="48">
        <v>707.08</v>
      </c>
      <c r="G132" s="48">
        <v>120.15</v>
      </c>
      <c r="H132" s="48">
        <v>0</v>
      </c>
      <c r="I132" s="48">
        <v>0</v>
      </c>
      <c r="J132" s="49">
        <v>0</v>
      </c>
      <c r="K132" s="48">
        <f t="shared" si="54"/>
        <v>34.863599999999998</v>
      </c>
      <c r="L132" s="48">
        <v>0</v>
      </c>
      <c r="M132" s="48">
        <f t="shared" si="55"/>
        <v>1408.29</v>
      </c>
      <c r="N132" s="41">
        <f t="shared" si="34"/>
        <v>337.9896</v>
      </c>
      <c r="O132" s="41">
        <f t="shared" si="35"/>
        <v>111.48962969429999</v>
      </c>
      <c r="P132" s="41">
        <f t="shared" si="36"/>
        <v>93.886004694299999</v>
      </c>
      <c r="Q132" s="41">
        <f t="shared" si="37"/>
        <v>111.48962969429999</v>
      </c>
      <c r="R132" s="41">
        <f t="shared" si="38"/>
        <v>0</v>
      </c>
      <c r="S132" s="41">
        <f t="shared" si="39"/>
        <v>73.935224999999988</v>
      </c>
      <c r="T132" s="41">
        <f t="shared" si="40"/>
        <v>56.331600000000002</v>
      </c>
      <c r="U132" s="41">
        <f t="shared" si="41"/>
        <v>28.165800000000001</v>
      </c>
      <c r="V132" s="41">
        <f t="shared" si="52"/>
        <v>28.165800000000001</v>
      </c>
      <c r="W132" s="41">
        <f t="shared" si="42"/>
        <v>56.331600000000002</v>
      </c>
      <c r="X132" s="41">
        <f t="shared" si="43"/>
        <v>0</v>
      </c>
      <c r="Y132" s="41">
        <f t="shared" si="43"/>
        <v>0</v>
      </c>
      <c r="Z132" s="41">
        <f t="shared" si="44"/>
        <v>17.603625000000001</v>
      </c>
      <c r="AA132" s="41">
        <f t="shared" si="45"/>
        <v>0</v>
      </c>
      <c r="AB132" s="41">
        <f t="shared" si="46"/>
        <v>70.414500000000004</v>
      </c>
      <c r="AC132" s="41">
        <f t="shared" si="47"/>
        <v>70.414500000000004</v>
      </c>
      <c r="AD132" s="41">
        <f t="shared" si="48"/>
        <v>70.414500000000004</v>
      </c>
      <c r="AE132" s="41">
        <f t="shared" si="49"/>
        <v>281.65800000000002</v>
      </c>
      <c r="AF132" s="41">
        <f t="shared" si="50"/>
        <v>0</v>
      </c>
      <c r="AG132" s="41">
        <f t="shared" si="53"/>
        <v>0</v>
      </c>
      <c r="AH132" s="41">
        <f t="shared" si="51"/>
        <v>0</v>
      </c>
    </row>
    <row r="133" spans="2:34" ht="15" customHeight="1" x14ac:dyDescent="0.3">
      <c r="B133" s="60" t="s">
        <v>195</v>
      </c>
      <c r="C133" s="48">
        <v>674.06</v>
      </c>
      <c r="D133" s="48">
        <v>0</v>
      </c>
      <c r="E133" s="48">
        <v>0</v>
      </c>
      <c r="F133" s="48">
        <v>363.32</v>
      </c>
      <c r="G133" s="48">
        <v>65.64</v>
      </c>
      <c r="H133" s="48">
        <v>0</v>
      </c>
      <c r="I133" s="48">
        <v>0</v>
      </c>
      <c r="J133" s="49">
        <v>0</v>
      </c>
      <c r="K133" s="48">
        <f t="shared" si="54"/>
        <v>40.443599999999996</v>
      </c>
      <c r="L133" s="48">
        <v>0</v>
      </c>
      <c r="M133" s="48">
        <f t="shared" si="55"/>
        <v>1103.02</v>
      </c>
      <c r="N133" s="41">
        <f t="shared" si="34"/>
        <v>264.72479999999996</v>
      </c>
      <c r="O133" s="41">
        <f t="shared" si="35"/>
        <v>87.322420343399997</v>
      </c>
      <c r="P133" s="41">
        <f t="shared" si="36"/>
        <v>73.534670343399995</v>
      </c>
      <c r="Q133" s="41">
        <f t="shared" si="37"/>
        <v>87.322420343399997</v>
      </c>
      <c r="R133" s="41">
        <f t="shared" si="38"/>
        <v>0</v>
      </c>
      <c r="S133" s="41">
        <f t="shared" si="39"/>
        <v>57.908549999999998</v>
      </c>
      <c r="T133" s="41">
        <f t="shared" si="40"/>
        <v>44.120800000000003</v>
      </c>
      <c r="U133" s="41">
        <f t="shared" si="41"/>
        <v>22.060400000000001</v>
      </c>
      <c r="V133" s="41">
        <f t="shared" si="52"/>
        <v>22.060400000000001</v>
      </c>
      <c r="W133" s="41">
        <f t="shared" si="42"/>
        <v>44.120800000000003</v>
      </c>
      <c r="X133" s="41">
        <f t="shared" si="43"/>
        <v>0</v>
      </c>
      <c r="Y133" s="41">
        <f t="shared" si="43"/>
        <v>0</v>
      </c>
      <c r="Z133" s="41">
        <f t="shared" si="44"/>
        <v>13.787750000000001</v>
      </c>
      <c r="AA133" s="41">
        <f t="shared" si="45"/>
        <v>0</v>
      </c>
      <c r="AB133" s="41">
        <f t="shared" si="46"/>
        <v>55.151000000000003</v>
      </c>
      <c r="AC133" s="41">
        <f t="shared" si="47"/>
        <v>55.151000000000003</v>
      </c>
      <c r="AD133" s="41">
        <f t="shared" si="48"/>
        <v>55.151000000000003</v>
      </c>
      <c r="AE133" s="41">
        <f t="shared" si="49"/>
        <v>220.60400000000001</v>
      </c>
      <c r="AF133" s="41">
        <f t="shared" si="50"/>
        <v>0</v>
      </c>
      <c r="AG133" s="41">
        <f t="shared" si="53"/>
        <v>0</v>
      </c>
      <c r="AH133" s="41">
        <f t="shared" si="51"/>
        <v>0</v>
      </c>
    </row>
    <row r="134" spans="2:34" ht="15" customHeight="1" x14ac:dyDescent="0.3">
      <c r="B134" s="60" t="s">
        <v>196</v>
      </c>
      <c r="C134" s="48">
        <v>519.03</v>
      </c>
      <c r="D134" s="48">
        <v>0</v>
      </c>
      <c r="E134" s="48">
        <v>0</v>
      </c>
      <c r="F134" s="48">
        <v>368.17</v>
      </c>
      <c r="G134" s="48">
        <v>66.510000000000005</v>
      </c>
      <c r="H134" s="48">
        <v>0</v>
      </c>
      <c r="I134" s="48">
        <v>0</v>
      </c>
      <c r="J134" s="49">
        <v>0</v>
      </c>
      <c r="K134" s="48">
        <f t="shared" si="54"/>
        <v>31.141799999999996</v>
      </c>
      <c r="L134" s="48">
        <v>0</v>
      </c>
      <c r="M134" s="48">
        <f t="shared" si="55"/>
        <v>953.71</v>
      </c>
      <c r="N134" s="41">
        <f t="shared" si="34"/>
        <v>228.8904</v>
      </c>
      <c r="O134" s="41">
        <f t="shared" si="35"/>
        <v>75.502044845699999</v>
      </c>
      <c r="P134" s="41">
        <f t="shared" si="36"/>
        <v>63.580669845700001</v>
      </c>
      <c r="Q134" s="41">
        <f t="shared" si="37"/>
        <v>75.502044845699999</v>
      </c>
      <c r="R134" s="41">
        <f t="shared" si="38"/>
        <v>0</v>
      </c>
      <c r="S134" s="41">
        <f t="shared" si="39"/>
        <v>50.069775</v>
      </c>
      <c r="T134" s="41">
        <f t="shared" si="40"/>
        <v>38.148400000000002</v>
      </c>
      <c r="U134" s="41">
        <f t="shared" si="41"/>
        <v>19.074200000000001</v>
      </c>
      <c r="V134" s="41">
        <f t="shared" si="52"/>
        <v>19.074200000000001</v>
      </c>
      <c r="W134" s="41">
        <f t="shared" si="42"/>
        <v>38.148400000000002</v>
      </c>
      <c r="X134" s="41">
        <f t="shared" si="43"/>
        <v>0</v>
      </c>
      <c r="Y134" s="41">
        <f t="shared" si="43"/>
        <v>0</v>
      </c>
      <c r="Z134" s="41">
        <f t="shared" si="44"/>
        <v>11.921375000000001</v>
      </c>
      <c r="AA134" s="41">
        <f t="shared" si="45"/>
        <v>0</v>
      </c>
      <c r="AB134" s="41">
        <f t="shared" si="46"/>
        <v>47.685500000000005</v>
      </c>
      <c r="AC134" s="41">
        <f t="shared" si="47"/>
        <v>47.685500000000005</v>
      </c>
      <c r="AD134" s="41">
        <f t="shared" si="48"/>
        <v>47.685500000000005</v>
      </c>
      <c r="AE134" s="41">
        <f t="shared" si="49"/>
        <v>190.74200000000002</v>
      </c>
      <c r="AF134" s="41">
        <f t="shared" si="50"/>
        <v>0</v>
      </c>
      <c r="AG134" s="41">
        <f t="shared" si="53"/>
        <v>0</v>
      </c>
      <c r="AH134" s="41">
        <f t="shared" si="51"/>
        <v>0</v>
      </c>
    </row>
    <row r="135" spans="2:34" ht="15" customHeight="1" x14ac:dyDescent="0.3">
      <c r="B135" s="60" t="s">
        <v>197</v>
      </c>
      <c r="C135" s="48">
        <v>560.41</v>
      </c>
      <c r="D135" s="48">
        <v>0</v>
      </c>
      <c r="E135" s="48">
        <v>0</v>
      </c>
      <c r="F135" s="48">
        <v>359.67</v>
      </c>
      <c r="G135" s="48">
        <v>64.97</v>
      </c>
      <c r="H135" s="48">
        <v>0</v>
      </c>
      <c r="I135" s="48">
        <v>0</v>
      </c>
      <c r="J135" s="49">
        <v>0</v>
      </c>
      <c r="K135" s="48">
        <f t="shared" si="54"/>
        <v>33.624599999999994</v>
      </c>
      <c r="L135" s="48">
        <v>0</v>
      </c>
      <c r="M135" s="48">
        <f t="shared" si="55"/>
        <v>985.05</v>
      </c>
      <c r="N135" s="41">
        <f t="shared" si="34"/>
        <v>236.41199999999998</v>
      </c>
      <c r="O135" s="41">
        <f t="shared" si="35"/>
        <v>77.983128283499994</v>
      </c>
      <c r="P135" s="41">
        <f t="shared" si="36"/>
        <v>65.670003283499994</v>
      </c>
      <c r="Q135" s="41">
        <f t="shared" si="37"/>
        <v>77.983128283499994</v>
      </c>
      <c r="R135" s="41">
        <f t="shared" si="38"/>
        <v>0</v>
      </c>
      <c r="S135" s="41">
        <f t="shared" si="39"/>
        <v>51.715124999999993</v>
      </c>
      <c r="T135" s="41">
        <f t="shared" si="40"/>
        <v>39.402000000000001</v>
      </c>
      <c r="U135" s="41">
        <f t="shared" si="41"/>
        <v>19.701000000000001</v>
      </c>
      <c r="V135" s="41">
        <f t="shared" si="52"/>
        <v>19.701000000000001</v>
      </c>
      <c r="W135" s="41">
        <f t="shared" si="42"/>
        <v>39.402000000000001</v>
      </c>
      <c r="X135" s="41">
        <f t="shared" si="43"/>
        <v>0</v>
      </c>
      <c r="Y135" s="41">
        <f t="shared" si="43"/>
        <v>0</v>
      </c>
      <c r="Z135" s="41">
        <f t="shared" si="44"/>
        <v>12.313124999999999</v>
      </c>
      <c r="AA135" s="41">
        <f t="shared" si="45"/>
        <v>0</v>
      </c>
      <c r="AB135" s="41">
        <f t="shared" si="46"/>
        <v>49.252499999999998</v>
      </c>
      <c r="AC135" s="41">
        <f t="shared" si="47"/>
        <v>49.252499999999998</v>
      </c>
      <c r="AD135" s="41">
        <f t="shared" si="48"/>
        <v>49.252499999999998</v>
      </c>
      <c r="AE135" s="41">
        <f t="shared" si="49"/>
        <v>197.01</v>
      </c>
      <c r="AF135" s="41">
        <f t="shared" si="50"/>
        <v>0</v>
      </c>
      <c r="AG135" s="41">
        <f t="shared" si="53"/>
        <v>0</v>
      </c>
      <c r="AH135" s="41">
        <f t="shared" si="51"/>
        <v>0</v>
      </c>
    </row>
    <row r="136" spans="2:34" ht="15" customHeight="1" x14ac:dyDescent="0.3">
      <c r="B136" s="60" t="s">
        <v>198</v>
      </c>
      <c r="C136" s="48"/>
      <c r="D136" s="48"/>
      <c r="E136" s="48">
        <v>0</v>
      </c>
      <c r="F136" s="48">
        <v>0</v>
      </c>
      <c r="G136" s="48">
        <v>0</v>
      </c>
      <c r="H136" s="48"/>
      <c r="I136" s="48"/>
      <c r="J136" s="49"/>
      <c r="K136" s="48">
        <f t="shared" si="54"/>
        <v>0</v>
      </c>
      <c r="L136" s="48"/>
      <c r="M136" s="48">
        <f t="shared" si="55"/>
        <v>0</v>
      </c>
      <c r="N136" s="41">
        <f t="shared" si="34"/>
        <v>0</v>
      </c>
      <c r="O136" s="41">
        <f t="shared" si="35"/>
        <v>0</v>
      </c>
      <c r="P136" s="41">
        <f t="shared" si="36"/>
        <v>0</v>
      </c>
      <c r="Q136" s="41">
        <f t="shared" si="37"/>
        <v>0</v>
      </c>
      <c r="R136" s="41">
        <f t="shared" si="38"/>
        <v>0</v>
      </c>
      <c r="S136" s="41">
        <f t="shared" si="39"/>
        <v>0</v>
      </c>
      <c r="T136" s="41">
        <f t="shared" si="40"/>
        <v>0</v>
      </c>
      <c r="U136" s="41">
        <f t="shared" si="41"/>
        <v>0</v>
      </c>
      <c r="V136" s="41">
        <f t="shared" si="52"/>
        <v>0</v>
      </c>
      <c r="W136" s="41">
        <f t="shared" si="42"/>
        <v>0</v>
      </c>
      <c r="X136" s="41">
        <f t="shared" si="43"/>
        <v>0</v>
      </c>
      <c r="Y136" s="41">
        <f t="shared" si="43"/>
        <v>0</v>
      </c>
      <c r="Z136" s="41">
        <f t="shared" si="44"/>
        <v>0</v>
      </c>
      <c r="AA136" s="41">
        <f t="shared" si="45"/>
        <v>0</v>
      </c>
      <c r="AB136" s="41">
        <f t="shared" si="46"/>
        <v>0</v>
      </c>
      <c r="AC136" s="41">
        <f t="shared" si="47"/>
        <v>0</v>
      </c>
      <c r="AD136" s="41">
        <f t="shared" si="48"/>
        <v>0</v>
      </c>
      <c r="AE136" s="41">
        <f t="shared" si="49"/>
        <v>0</v>
      </c>
      <c r="AF136" s="41">
        <f t="shared" si="50"/>
        <v>0</v>
      </c>
      <c r="AG136" s="41">
        <f t="shared" si="53"/>
        <v>0</v>
      </c>
      <c r="AH136" s="41">
        <f t="shared" si="51"/>
        <v>0</v>
      </c>
    </row>
    <row r="137" spans="2:34" ht="15" customHeight="1" x14ac:dyDescent="0.3">
      <c r="B137" s="60" t="s">
        <v>199</v>
      </c>
      <c r="C137" s="48">
        <f>443.73</f>
        <v>443.73</v>
      </c>
      <c r="D137" s="48">
        <v>0</v>
      </c>
      <c r="E137" s="48">
        <v>0</v>
      </c>
      <c r="F137" s="48">
        <v>439.13</v>
      </c>
      <c r="G137" s="48">
        <v>75.87</v>
      </c>
      <c r="H137" s="48">
        <v>0</v>
      </c>
      <c r="I137" s="48">
        <v>0</v>
      </c>
      <c r="J137" s="49">
        <v>0</v>
      </c>
      <c r="K137" s="48">
        <f t="shared" si="54"/>
        <v>26.623799999999999</v>
      </c>
      <c r="L137" s="48">
        <v>0</v>
      </c>
      <c r="M137" s="48">
        <f t="shared" si="55"/>
        <v>958.73</v>
      </c>
      <c r="N137" s="41">
        <f t="shared" si="34"/>
        <v>230.09520000000001</v>
      </c>
      <c r="O137" s="41">
        <f t="shared" si="35"/>
        <v>75.899461529099995</v>
      </c>
      <c r="P137" s="41">
        <f t="shared" si="36"/>
        <v>63.915336529099996</v>
      </c>
      <c r="Q137" s="41">
        <f t="shared" si="37"/>
        <v>75.899461529099995</v>
      </c>
      <c r="R137" s="41">
        <f t="shared" si="38"/>
        <v>0</v>
      </c>
      <c r="S137" s="41">
        <f t="shared" si="39"/>
        <v>50.333325000000002</v>
      </c>
      <c r="T137" s="41">
        <f t="shared" si="40"/>
        <v>38.349200000000003</v>
      </c>
      <c r="U137" s="41">
        <f t="shared" si="41"/>
        <v>19.174600000000002</v>
      </c>
      <c r="V137" s="41">
        <f t="shared" si="52"/>
        <v>19.174600000000002</v>
      </c>
      <c r="W137" s="41">
        <f t="shared" si="42"/>
        <v>38.349200000000003</v>
      </c>
      <c r="X137" s="41">
        <f t="shared" si="43"/>
        <v>0</v>
      </c>
      <c r="Y137" s="41">
        <f t="shared" si="43"/>
        <v>0</v>
      </c>
      <c r="Z137" s="41">
        <f t="shared" si="44"/>
        <v>11.984125000000001</v>
      </c>
      <c r="AA137" s="41">
        <f t="shared" si="45"/>
        <v>0</v>
      </c>
      <c r="AB137" s="41">
        <f t="shared" si="46"/>
        <v>47.936500000000002</v>
      </c>
      <c r="AC137" s="41">
        <f t="shared" si="47"/>
        <v>47.936500000000002</v>
      </c>
      <c r="AD137" s="41">
        <f t="shared" si="48"/>
        <v>47.936500000000002</v>
      </c>
      <c r="AE137" s="41">
        <f t="shared" si="49"/>
        <v>191.74600000000001</v>
      </c>
      <c r="AF137" s="41">
        <f t="shared" si="50"/>
        <v>0</v>
      </c>
      <c r="AG137" s="41">
        <f t="shared" si="53"/>
        <v>0</v>
      </c>
      <c r="AH137" s="41">
        <f t="shared" si="51"/>
        <v>0</v>
      </c>
    </row>
    <row r="138" spans="2:34" ht="15" customHeight="1" x14ac:dyDescent="0.3">
      <c r="B138" s="60" t="s">
        <v>200</v>
      </c>
      <c r="C138" s="48">
        <v>0</v>
      </c>
      <c r="D138" s="48">
        <v>0</v>
      </c>
      <c r="E138" s="48">
        <v>0</v>
      </c>
      <c r="F138" s="48">
        <v>0</v>
      </c>
      <c r="G138" s="48">
        <v>0</v>
      </c>
      <c r="H138" s="48">
        <v>0</v>
      </c>
      <c r="I138" s="48">
        <v>0</v>
      </c>
      <c r="J138" s="49">
        <v>0</v>
      </c>
      <c r="K138" s="48">
        <f t="shared" si="54"/>
        <v>0</v>
      </c>
      <c r="L138" s="48">
        <v>0</v>
      </c>
      <c r="M138" s="48">
        <f t="shared" si="55"/>
        <v>0</v>
      </c>
      <c r="N138" s="41">
        <f t="shared" si="34"/>
        <v>0</v>
      </c>
      <c r="O138" s="41">
        <f t="shared" si="35"/>
        <v>0</v>
      </c>
      <c r="P138" s="41">
        <f t="shared" si="36"/>
        <v>0</v>
      </c>
      <c r="Q138" s="41">
        <f t="shared" si="37"/>
        <v>0</v>
      </c>
      <c r="R138" s="41">
        <f t="shared" si="38"/>
        <v>0</v>
      </c>
      <c r="S138" s="41">
        <f t="shared" si="39"/>
        <v>0</v>
      </c>
      <c r="T138" s="41">
        <f t="shared" si="40"/>
        <v>0</v>
      </c>
      <c r="U138" s="41">
        <f t="shared" si="41"/>
        <v>0</v>
      </c>
      <c r="V138" s="41">
        <f t="shared" si="52"/>
        <v>0</v>
      </c>
      <c r="W138" s="41">
        <f t="shared" si="42"/>
        <v>0</v>
      </c>
      <c r="X138" s="41">
        <f t="shared" si="43"/>
        <v>0</v>
      </c>
      <c r="Y138" s="41">
        <f t="shared" si="43"/>
        <v>0</v>
      </c>
      <c r="Z138" s="41">
        <f t="shared" si="44"/>
        <v>0</v>
      </c>
      <c r="AA138" s="41">
        <f t="shared" si="45"/>
        <v>0</v>
      </c>
      <c r="AB138" s="41">
        <f t="shared" si="46"/>
        <v>0</v>
      </c>
      <c r="AC138" s="41">
        <f t="shared" si="47"/>
        <v>0</v>
      </c>
      <c r="AD138" s="41">
        <f t="shared" si="48"/>
        <v>0</v>
      </c>
      <c r="AE138" s="41">
        <f t="shared" si="49"/>
        <v>0</v>
      </c>
      <c r="AF138" s="41">
        <f t="shared" si="50"/>
        <v>0</v>
      </c>
      <c r="AG138" s="41">
        <f t="shared" si="53"/>
        <v>0</v>
      </c>
      <c r="AH138" s="41">
        <f t="shared" si="51"/>
        <v>0</v>
      </c>
    </row>
    <row r="139" spans="2:34" ht="15" customHeight="1" x14ac:dyDescent="0.3">
      <c r="B139" s="60" t="s">
        <v>201</v>
      </c>
      <c r="C139" s="48">
        <v>0</v>
      </c>
      <c r="D139" s="48">
        <v>0</v>
      </c>
      <c r="E139" s="48">
        <v>0</v>
      </c>
      <c r="F139" s="48">
        <v>0</v>
      </c>
      <c r="G139" s="48">
        <v>0</v>
      </c>
      <c r="H139" s="48">
        <v>0</v>
      </c>
      <c r="I139" s="48">
        <v>0</v>
      </c>
      <c r="J139" s="49">
        <v>0</v>
      </c>
      <c r="K139" s="48">
        <f t="shared" si="54"/>
        <v>0</v>
      </c>
      <c r="L139" s="48">
        <v>0</v>
      </c>
      <c r="M139" s="48">
        <f t="shared" si="55"/>
        <v>0</v>
      </c>
      <c r="N139" s="41">
        <f t="shared" si="34"/>
        <v>0</v>
      </c>
      <c r="O139" s="41">
        <f t="shared" si="35"/>
        <v>0</v>
      </c>
      <c r="P139" s="41">
        <f t="shared" si="36"/>
        <v>0</v>
      </c>
      <c r="Q139" s="41">
        <f t="shared" si="37"/>
        <v>0</v>
      </c>
      <c r="R139" s="41">
        <f t="shared" si="38"/>
        <v>0</v>
      </c>
      <c r="S139" s="41">
        <f t="shared" si="39"/>
        <v>0</v>
      </c>
      <c r="T139" s="41">
        <f t="shared" si="40"/>
        <v>0</v>
      </c>
      <c r="U139" s="41">
        <f t="shared" si="41"/>
        <v>0</v>
      </c>
      <c r="V139" s="41">
        <f t="shared" si="52"/>
        <v>0</v>
      </c>
      <c r="W139" s="41">
        <f t="shared" si="42"/>
        <v>0</v>
      </c>
      <c r="X139" s="41">
        <f t="shared" si="43"/>
        <v>0</v>
      </c>
      <c r="Y139" s="41">
        <f t="shared" si="43"/>
        <v>0</v>
      </c>
      <c r="Z139" s="41">
        <f t="shared" si="44"/>
        <v>0</v>
      </c>
      <c r="AA139" s="41">
        <f t="shared" si="45"/>
        <v>0</v>
      </c>
      <c r="AB139" s="41">
        <f t="shared" si="46"/>
        <v>0</v>
      </c>
      <c r="AC139" s="41">
        <f t="shared" si="47"/>
        <v>0</v>
      </c>
      <c r="AD139" s="41">
        <f t="shared" si="48"/>
        <v>0</v>
      </c>
      <c r="AE139" s="41">
        <f t="shared" si="49"/>
        <v>0</v>
      </c>
      <c r="AF139" s="41">
        <f t="shared" si="50"/>
        <v>0</v>
      </c>
      <c r="AG139" s="41">
        <f t="shared" si="53"/>
        <v>0</v>
      </c>
      <c r="AH139" s="41">
        <f t="shared" si="51"/>
        <v>0</v>
      </c>
    </row>
    <row r="140" spans="2:34" ht="15" customHeight="1" x14ac:dyDescent="0.3">
      <c r="B140" s="60" t="s">
        <v>202</v>
      </c>
      <c r="C140" s="48">
        <v>0</v>
      </c>
      <c r="D140" s="48">
        <v>0</v>
      </c>
      <c r="E140" s="48">
        <v>0</v>
      </c>
      <c r="F140" s="48">
        <v>0</v>
      </c>
      <c r="G140" s="48">
        <v>0</v>
      </c>
      <c r="H140" s="48">
        <v>0</v>
      </c>
      <c r="I140" s="48">
        <v>0</v>
      </c>
      <c r="J140" s="49">
        <v>0</v>
      </c>
      <c r="K140" s="48">
        <f t="shared" si="54"/>
        <v>0</v>
      </c>
      <c r="L140" s="48">
        <v>0</v>
      </c>
      <c r="M140" s="48">
        <f t="shared" si="55"/>
        <v>0</v>
      </c>
      <c r="N140" s="41">
        <f t="shared" si="34"/>
        <v>0</v>
      </c>
      <c r="O140" s="41">
        <f t="shared" si="35"/>
        <v>0</v>
      </c>
      <c r="P140" s="41">
        <f t="shared" si="36"/>
        <v>0</v>
      </c>
      <c r="Q140" s="41">
        <f t="shared" si="37"/>
        <v>0</v>
      </c>
      <c r="R140" s="41">
        <f t="shared" si="38"/>
        <v>0</v>
      </c>
      <c r="S140" s="41">
        <f t="shared" si="39"/>
        <v>0</v>
      </c>
      <c r="T140" s="41">
        <f t="shared" si="40"/>
        <v>0</v>
      </c>
      <c r="U140" s="41">
        <f t="shared" si="41"/>
        <v>0</v>
      </c>
      <c r="V140" s="41">
        <f t="shared" si="52"/>
        <v>0</v>
      </c>
      <c r="W140" s="41">
        <f t="shared" si="42"/>
        <v>0</v>
      </c>
      <c r="X140" s="41">
        <f t="shared" si="43"/>
        <v>0</v>
      </c>
      <c r="Y140" s="41">
        <f t="shared" si="43"/>
        <v>0</v>
      </c>
      <c r="Z140" s="41">
        <f t="shared" si="44"/>
        <v>0</v>
      </c>
      <c r="AA140" s="41">
        <f t="shared" si="45"/>
        <v>0</v>
      </c>
      <c r="AB140" s="41">
        <f t="shared" si="46"/>
        <v>0</v>
      </c>
      <c r="AC140" s="41">
        <f t="shared" si="47"/>
        <v>0</v>
      </c>
      <c r="AD140" s="41">
        <f t="shared" si="48"/>
        <v>0</v>
      </c>
      <c r="AE140" s="41">
        <f t="shared" si="49"/>
        <v>0</v>
      </c>
      <c r="AF140" s="41">
        <f t="shared" si="50"/>
        <v>0</v>
      </c>
      <c r="AG140" s="41">
        <f t="shared" si="53"/>
        <v>0</v>
      </c>
      <c r="AH140" s="41">
        <f t="shared" si="51"/>
        <v>0</v>
      </c>
    </row>
    <row r="141" spans="2:34" ht="15" customHeight="1" x14ac:dyDescent="0.3">
      <c r="B141" s="60" t="s">
        <v>203</v>
      </c>
      <c r="C141" s="48">
        <v>0</v>
      </c>
      <c r="D141" s="48">
        <v>0</v>
      </c>
      <c r="E141" s="48">
        <v>0</v>
      </c>
      <c r="F141" s="48">
        <v>0</v>
      </c>
      <c r="G141" s="48">
        <v>0</v>
      </c>
      <c r="H141" s="48">
        <v>0</v>
      </c>
      <c r="I141" s="48">
        <v>0</v>
      </c>
      <c r="J141" s="49">
        <v>0</v>
      </c>
      <c r="K141" s="48">
        <f t="shared" si="54"/>
        <v>0</v>
      </c>
      <c r="L141" s="48">
        <v>0</v>
      </c>
      <c r="M141" s="48">
        <f t="shared" si="55"/>
        <v>0</v>
      </c>
      <c r="N141" s="41">
        <f t="shared" ref="N141:N204" si="58">M141*$N$15</f>
        <v>0</v>
      </c>
      <c r="O141" s="41">
        <f t="shared" ref="O141:O204" si="59">M141*$O$15</f>
        <v>0</v>
      </c>
      <c r="P141" s="41">
        <f t="shared" ref="P141:P204" si="60">M141*$P$15</f>
        <v>0</v>
      </c>
      <c r="Q141" s="41">
        <f t="shared" ref="Q141:Q204" si="61">M141*$Q$15</f>
        <v>0</v>
      </c>
      <c r="R141" s="41">
        <f t="shared" ref="R141:R204" si="62">M141*$R$15</f>
        <v>0</v>
      </c>
      <c r="S141" s="41">
        <f t="shared" ref="S141:S204" si="63">M141*$S$15</f>
        <v>0</v>
      </c>
      <c r="T141" s="41">
        <f t="shared" ref="T141:T204" si="64">M141*$T$15</f>
        <v>0</v>
      </c>
      <c r="U141" s="41">
        <f t="shared" ref="U141:U204" si="65">M141*$U$15</f>
        <v>0</v>
      </c>
      <c r="V141" s="41">
        <f t="shared" si="52"/>
        <v>0</v>
      </c>
      <c r="W141" s="41">
        <f t="shared" ref="W141:W204" si="66">M141*$W$15</f>
        <v>0</v>
      </c>
      <c r="X141" s="41">
        <f t="shared" ref="X141:Y204" si="67">M141*$X$15</f>
        <v>0</v>
      </c>
      <c r="Y141" s="41">
        <f t="shared" si="67"/>
        <v>0</v>
      </c>
      <c r="Z141" s="41">
        <f t="shared" ref="Z141:Z204" si="68">M141*$Z$15</f>
        <v>0</v>
      </c>
      <c r="AA141" s="41">
        <f t="shared" ref="AA141:AA204" si="69">M141*$AA$15</f>
        <v>0</v>
      </c>
      <c r="AB141" s="41">
        <f t="shared" ref="AB141:AB204" si="70">M141*$AB$15</f>
        <v>0</v>
      </c>
      <c r="AC141" s="41">
        <f t="shared" ref="AC141:AC204" si="71">M141*$AC$15</f>
        <v>0</v>
      </c>
      <c r="AD141" s="41">
        <f t="shared" ref="AD141:AD204" si="72">M141*$AD$15</f>
        <v>0</v>
      </c>
      <c r="AE141" s="41">
        <f t="shared" ref="AE141:AE204" si="73">M141*$AE$15</f>
        <v>0</v>
      </c>
      <c r="AF141" s="41">
        <f t="shared" ref="AF141:AF204" si="74">L141*$AH$15</f>
        <v>0</v>
      </c>
      <c r="AG141" s="41">
        <f t="shared" si="53"/>
        <v>0</v>
      </c>
      <c r="AH141" s="41">
        <f t="shared" ref="AH141:AH204" si="75">M141*$AH$15</f>
        <v>0</v>
      </c>
    </row>
    <row r="142" spans="2:34" ht="15" customHeight="1" x14ac:dyDescent="0.3">
      <c r="B142" s="60" t="s">
        <v>204</v>
      </c>
      <c r="C142" s="48">
        <v>474.32</v>
      </c>
      <c r="D142" s="48">
        <v>0</v>
      </c>
      <c r="E142" s="48">
        <v>0</v>
      </c>
      <c r="F142" s="48">
        <v>260.04000000000002</v>
      </c>
      <c r="G142" s="48">
        <v>49.69</v>
      </c>
      <c r="H142" s="48">
        <v>0</v>
      </c>
      <c r="I142" s="48">
        <v>0</v>
      </c>
      <c r="J142" s="49">
        <v>0</v>
      </c>
      <c r="K142" s="48">
        <f t="shared" si="54"/>
        <v>28.459199999999999</v>
      </c>
      <c r="L142" s="48">
        <v>0</v>
      </c>
      <c r="M142" s="48">
        <f t="shared" si="55"/>
        <v>784.05</v>
      </c>
      <c r="N142" s="41">
        <f t="shared" si="58"/>
        <v>188.17199999999997</v>
      </c>
      <c r="O142" s="41">
        <f t="shared" si="59"/>
        <v>62.070627613499994</v>
      </c>
      <c r="P142" s="41">
        <f t="shared" si="60"/>
        <v>52.270002613499997</v>
      </c>
      <c r="Q142" s="41">
        <f t="shared" si="61"/>
        <v>62.070627613499994</v>
      </c>
      <c r="R142" s="41">
        <f t="shared" si="62"/>
        <v>0</v>
      </c>
      <c r="S142" s="41">
        <f t="shared" si="63"/>
        <v>41.162624999999998</v>
      </c>
      <c r="T142" s="41">
        <f t="shared" si="64"/>
        <v>31.361999999999998</v>
      </c>
      <c r="U142" s="41">
        <f t="shared" si="65"/>
        <v>15.680999999999999</v>
      </c>
      <c r="V142" s="41">
        <f t="shared" ref="V142:V205" si="76">M142*$U$15</f>
        <v>15.680999999999999</v>
      </c>
      <c r="W142" s="41">
        <f t="shared" si="66"/>
        <v>31.361999999999998</v>
      </c>
      <c r="X142" s="41">
        <f t="shared" si="67"/>
        <v>0</v>
      </c>
      <c r="Y142" s="41">
        <f t="shared" si="67"/>
        <v>0</v>
      </c>
      <c r="Z142" s="41">
        <f t="shared" si="68"/>
        <v>9.8006250000000001</v>
      </c>
      <c r="AA142" s="41">
        <f t="shared" si="69"/>
        <v>0</v>
      </c>
      <c r="AB142" s="41">
        <f t="shared" si="70"/>
        <v>39.202500000000001</v>
      </c>
      <c r="AC142" s="41">
        <f t="shared" si="71"/>
        <v>39.202500000000001</v>
      </c>
      <c r="AD142" s="41">
        <f t="shared" si="72"/>
        <v>39.202500000000001</v>
      </c>
      <c r="AE142" s="41">
        <f t="shared" si="73"/>
        <v>156.81</v>
      </c>
      <c r="AF142" s="41">
        <f t="shared" si="74"/>
        <v>0</v>
      </c>
      <c r="AG142" s="41">
        <f t="shared" ref="AG142:AG205" si="77">M142*$AG$15</f>
        <v>0</v>
      </c>
      <c r="AH142" s="41">
        <f t="shared" si="75"/>
        <v>0</v>
      </c>
    </row>
    <row r="143" spans="2:34" ht="15" customHeight="1" x14ac:dyDescent="0.3">
      <c r="B143" s="60" t="s">
        <v>205</v>
      </c>
      <c r="C143" s="48">
        <f>357.55</f>
        <v>357.55</v>
      </c>
      <c r="D143" s="48">
        <v>0</v>
      </c>
      <c r="E143" s="48">
        <v>0</v>
      </c>
      <c r="F143" s="48">
        <v>194.61</v>
      </c>
      <c r="G143" s="48">
        <v>32.94</v>
      </c>
      <c r="H143" s="48">
        <v>0</v>
      </c>
      <c r="I143" s="48">
        <v>0</v>
      </c>
      <c r="J143" s="49">
        <v>0</v>
      </c>
      <c r="K143" s="48">
        <f t="shared" si="54"/>
        <v>21.452999999999999</v>
      </c>
      <c r="L143" s="48">
        <v>0</v>
      </c>
      <c r="M143" s="48">
        <f t="shared" si="55"/>
        <v>585.10000000000014</v>
      </c>
      <c r="N143" s="41">
        <f t="shared" si="58"/>
        <v>140.42400000000004</v>
      </c>
      <c r="O143" s="41">
        <f t="shared" si="59"/>
        <v>46.320418617000009</v>
      </c>
      <c r="P143" s="41">
        <f t="shared" si="60"/>
        <v>39.00666861700001</v>
      </c>
      <c r="Q143" s="41">
        <f t="shared" si="61"/>
        <v>46.320418617000009</v>
      </c>
      <c r="R143" s="41">
        <f t="shared" si="62"/>
        <v>0</v>
      </c>
      <c r="S143" s="41">
        <f t="shared" si="63"/>
        <v>30.717750000000006</v>
      </c>
      <c r="T143" s="41">
        <f t="shared" si="64"/>
        <v>23.404000000000007</v>
      </c>
      <c r="U143" s="41">
        <f t="shared" si="65"/>
        <v>11.702000000000004</v>
      </c>
      <c r="V143" s="41">
        <f t="shared" si="76"/>
        <v>11.702000000000004</v>
      </c>
      <c r="W143" s="41">
        <f t="shared" si="66"/>
        <v>23.404000000000007</v>
      </c>
      <c r="X143" s="41">
        <f t="shared" si="67"/>
        <v>0</v>
      </c>
      <c r="Y143" s="41">
        <f t="shared" si="67"/>
        <v>0</v>
      </c>
      <c r="Z143" s="41">
        <f t="shared" si="68"/>
        <v>7.3137500000000024</v>
      </c>
      <c r="AA143" s="41">
        <f t="shared" si="69"/>
        <v>0</v>
      </c>
      <c r="AB143" s="41">
        <f t="shared" si="70"/>
        <v>29.25500000000001</v>
      </c>
      <c r="AC143" s="41">
        <f t="shared" si="71"/>
        <v>29.25500000000001</v>
      </c>
      <c r="AD143" s="41">
        <f t="shared" si="72"/>
        <v>29.25500000000001</v>
      </c>
      <c r="AE143" s="41">
        <f t="shared" si="73"/>
        <v>117.02000000000004</v>
      </c>
      <c r="AF143" s="41">
        <f t="shared" si="74"/>
        <v>0</v>
      </c>
      <c r="AG143" s="41">
        <f t="shared" si="77"/>
        <v>0</v>
      </c>
      <c r="AH143" s="41">
        <f t="shared" si="75"/>
        <v>0</v>
      </c>
    </row>
    <row r="144" spans="2:34" ht="15" customHeight="1" x14ac:dyDescent="0.3">
      <c r="B144" s="60" t="s">
        <v>206</v>
      </c>
      <c r="C144" s="48">
        <f>444.37-133.06</f>
        <v>311.31</v>
      </c>
      <c r="D144" s="48">
        <v>0</v>
      </c>
      <c r="E144" s="48">
        <v>0</v>
      </c>
      <c r="F144" s="48">
        <v>246.89</v>
      </c>
      <c r="G144" s="48">
        <v>41.8</v>
      </c>
      <c r="H144" s="48">
        <v>0</v>
      </c>
      <c r="I144" s="48">
        <v>0</v>
      </c>
      <c r="J144" s="49">
        <v>0</v>
      </c>
      <c r="K144" s="48">
        <f t="shared" si="54"/>
        <v>18.678599999999999</v>
      </c>
      <c r="L144" s="48">
        <v>0</v>
      </c>
      <c r="M144" s="48">
        <f t="shared" si="55"/>
        <v>600</v>
      </c>
      <c r="N144" s="41">
        <f t="shared" si="58"/>
        <v>144</v>
      </c>
      <c r="O144" s="41">
        <f t="shared" si="59"/>
        <v>47.500001999999995</v>
      </c>
      <c r="P144" s="41">
        <f t="shared" si="60"/>
        <v>40.000001999999995</v>
      </c>
      <c r="Q144" s="41">
        <f t="shared" si="61"/>
        <v>47.500001999999995</v>
      </c>
      <c r="R144" s="41">
        <f t="shared" si="62"/>
        <v>0</v>
      </c>
      <c r="S144" s="41">
        <f t="shared" si="63"/>
        <v>31.5</v>
      </c>
      <c r="T144" s="41">
        <f t="shared" si="64"/>
        <v>24</v>
      </c>
      <c r="U144" s="41">
        <f t="shared" si="65"/>
        <v>12</v>
      </c>
      <c r="V144" s="41">
        <f t="shared" si="76"/>
        <v>12</v>
      </c>
      <c r="W144" s="41">
        <f t="shared" si="66"/>
        <v>24</v>
      </c>
      <c r="X144" s="41">
        <f t="shared" si="67"/>
        <v>0</v>
      </c>
      <c r="Y144" s="41">
        <f t="shared" si="67"/>
        <v>0</v>
      </c>
      <c r="Z144" s="41">
        <f t="shared" si="68"/>
        <v>7.5</v>
      </c>
      <c r="AA144" s="41">
        <f t="shared" si="69"/>
        <v>0</v>
      </c>
      <c r="AB144" s="41">
        <f t="shared" si="70"/>
        <v>30</v>
      </c>
      <c r="AC144" s="41">
        <f t="shared" si="71"/>
        <v>30</v>
      </c>
      <c r="AD144" s="41">
        <f t="shared" si="72"/>
        <v>30</v>
      </c>
      <c r="AE144" s="41">
        <f t="shared" si="73"/>
        <v>120</v>
      </c>
      <c r="AF144" s="41">
        <f t="shared" si="74"/>
        <v>0</v>
      </c>
      <c r="AG144" s="41">
        <f t="shared" si="77"/>
        <v>0</v>
      </c>
      <c r="AH144" s="41">
        <f t="shared" si="75"/>
        <v>0</v>
      </c>
    </row>
    <row r="145" spans="2:34" ht="15" customHeight="1" x14ac:dyDescent="0.3">
      <c r="B145" s="60" t="s">
        <v>207</v>
      </c>
      <c r="C145" s="48">
        <f>619.58-309.79</f>
        <v>309.79000000000002</v>
      </c>
      <c r="D145" s="48">
        <v>0</v>
      </c>
      <c r="E145" s="48">
        <v>0</v>
      </c>
      <c r="F145" s="48">
        <v>711.53</v>
      </c>
      <c r="G145" s="48">
        <v>120.41</v>
      </c>
      <c r="H145" s="48">
        <v>0</v>
      </c>
      <c r="I145" s="48">
        <v>0</v>
      </c>
      <c r="J145" s="49">
        <v>0</v>
      </c>
      <c r="K145" s="48">
        <f t="shared" ref="K145:K208" si="78">(C145+D145+E145)*6%</f>
        <v>18.587399999999999</v>
      </c>
      <c r="L145" s="48">
        <v>0</v>
      </c>
      <c r="M145" s="48">
        <f t="shared" ref="M145:M208" si="79">C145+D145+E145+F145+G145+H145+J145+L145-I145</f>
        <v>1141.73</v>
      </c>
      <c r="N145" s="41">
        <f t="shared" si="58"/>
        <v>274.01519999999999</v>
      </c>
      <c r="O145" s="41">
        <f t="shared" si="59"/>
        <v>90.386962139099992</v>
      </c>
      <c r="P145" s="41">
        <f t="shared" si="60"/>
        <v>76.115337139099992</v>
      </c>
      <c r="Q145" s="41">
        <f t="shared" si="61"/>
        <v>90.386962139099992</v>
      </c>
      <c r="R145" s="41">
        <f t="shared" si="62"/>
        <v>0</v>
      </c>
      <c r="S145" s="41">
        <f t="shared" si="63"/>
        <v>59.940824999999997</v>
      </c>
      <c r="T145" s="41">
        <f t="shared" si="64"/>
        <v>45.669200000000004</v>
      </c>
      <c r="U145" s="41">
        <f t="shared" si="65"/>
        <v>22.834600000000002</v>
      </c>
      <c r="V145" s="41">
        <f t="shared" si="76"/>
        <v>22.834600000000002</v>
      </c>
      <c r="W145" s="41">
        <f t="shared" si="66"/>
        <v>45.669200000000004</v>
      </c>
      <c r="X145" s="41">
        <f t="shared" si="67"/>
        <v>0</v>
      </c>
      <c r="Y145" s="41">
        <f t="shared" si="67"/>
        <v>0</v>
      </c>
      <c r="Z145" s="41">
        <f t="shared" si="68"/>
        <v>14.271625</v>
      </c>
      <c r="AA145" s="41">
        <f t="shared" si="69"/>
        <v>0</v>
      </c>
      <c r="AB145" s="41">
        <f t="shared" si="70"/>
        <v>57.086500000000001</v>
      </c>
      <c r="AC145" s="41">
        <f t="shared" si="71"/>
        <v>57.086500000000001</v>
      </c>
      <c r="AD145" s="41">
        <f t="shared" si="72"/>
        <v>57.086500000000001</v>
      </c>
      <c r="AE145" s="41">
        <f t="shared" si="73"/>
        <v>228.346</v>
      </c>
      <c r="AF145" s="41">
        <f t="shared" si="74"/>
        <v>0</v>
      </c>
      <c r="AG145" s="41">
        <f t="shared" si="77"/>
        <v>0</v>
      </c>
      <c r="AH145" s="41">
        <f t="shared" si="75"/>
        <v>0</v>
      </c>
    </row>
    <row r="146" spans="2:34" ht="15" customHeight="1" x14ac:dyDescent="0.3">
      <c r="B146" s="60" t="s">
        <v>208</v>
      </c>
      <c r="C146" s="48">
        <f>577.59</f>
        <v>577.59</v>
      </c>
      <c r="D146" s="48">
        <v>0</v>
      </c>
      <c r="E146" s="48">
        <v>0</v>
      </c>
      <c r="F146" s="48">
        <v>363.32</v>
      </c>
      <c r="G146" s="48">
        <v>65.599999999999994</v>
      </c>
      <c r="H146" s="48">
        <v>0</v>
      </c>
      <c r="I146" s="48">
        <v>0</v>
      </c>
      <c r="J146" s="49">
        <v>0</v>
      </c>
      <c r="K146" s="48">
        <f t="shared" si="78"/>
        <v>34.6554</v>
      </c>
      <c r="L146" s="48">
        <v>0</v>
      </c>
      <c r="M146" s="48">
        <f t="shared" si="79"/>
        <v>1006.5100000000001</v>
      </c>
      <c r="N146" s="41">
        <f t="shared" si="58"/>
        <v>241.56240000000003</v>
      </c>
      <c r="O146" s="41">
        <f t="shared" si="59"/>
        <v>79.682045021700006</v>
      </c>
      <c r="P146" s="41">
        <f t="shared" si="60"/>
        <v>67.100670021699997</v>
      </c>
      <c r="Q146" s="41">
        <f t="shared" si="61"/>
        <v>79.682045021700006</v>
      </c>
      <c r="R146" s="41">
        <f t="shared" si="62"/>
        <v>0</v>
      </c>
      <c r="S146" s="41">
        <f t="shared" si="63"/>
        <v>52.841775000000005</v>
      </c>
      <c r="T146" s="41">
        <f t="shared" si="64"/>
        <v>40.260400000000004</v>
      </c>
      <c r="U146" s="41">
        <f t="shared" si="65"/>
        <v>20.130200000000002</v>
      </c>
      <c r="V146" s="41">
        <f t="shared" si="76"/>
        <v>20.130200000000002</v>
      </c>
      <c r="W146" s="41">
        <f t="shared" si="66"/>
        <v>40.260400000000004</v>
      </c>
      <c r="X146" s="41">
        <f t="shared" si="67"/>
        <v>0</v>
      </c>
      <c r="Y146" s="41">
        <f t="shared" si="67"/>
        <v>0</v>
      </c>
      <c r="Z146" s="41">
        <f t="shared" si="68"/>
        <v>12.581375000000001</v>
      </c>
      <c r="AA146" s="41">
        <f t="shared" si="69"/>
        <v>0</v>
      </c>
      <c r="AB146" s="41">
        <f t="shared" si="70"/>
        <v>50.325500000000005</v>
      </c>
      <c r="AC146" s="41">
        <f t="shared" si="71"/>
        <v>50.325500000000005</v>
      </c>
      <c r="AD146" s="41">
        <f t="shared" si="72"/>
        <v>50.325500000000005</v>
      </c>
      <c r="AE146" s="41">
        <f t="shared" si="73"/>
        <v>201.30200000000002</v>
      </c>
      <c r="AF146" s="41">
        <f t="shared" si="74"/>
        <v>0</v>
      </c>
      <c r="AG146" s="41">
        <f t="shared" si="77"/>
        <v>0</v>
      </c>
      <c r="AH146" s="41">
        <f t="shared" si="75"/>
        <v>0</v>
      </c>
    </row>
    <row r="147" spans="2:34" ht="15" customHeight="1" x14ac:dyDescent="0.3">
      <c r="B147" s="60" t="s">
        <v>39</v>
      </c>
      <c r="C147" s="48">
        <v>0</v>
      </c>
      <c r="D147" s="48">
        <v>0</v>
      </c>
      <c r="E147" s="48">
        <v>0</v>
      </c>
      <c r="F147" s="48">
        <v>0</v>
      </c>
      <c r="G147" s="48">
        <v>0</v>
      </c>
      <c r="H147" s="48">
        <v>0</v>
      </c>
      <c r="I147" s="48">
        <v>0</v>
      </c>
      <c r="J147" s="49">
        <v>0</v>
      </c>
      <c r="K147" s="48">
        <f t="shared" si="78"/>
        <v>0</v>
      </c>
      <c r="L147" s="48">
        <v>0</v>
      </c>
      <c r="M147" s="48">
        <f t="shared" si="79"/>
        <v>0</v>
      </c>
      <c r="N147" s="41">
        <f t="shared" si="58"/>
        <v>0</v>
      </c>
      <c r="O147" s="41">
        <f t="shared" si="59"/>
        <v>0</v>
      </c>
      <c r="P147" s="41">
        <f t="shared" si="60"/>
        <v>0</v>
      </c>
      <c r="Q147" s="41">
        <f t="shared" si="61"/>
        <v>0</v>
      </c>
      <c r="R147" s="41">
        <f t="shared" si="62"/>
        <v>0</v>
      </c>
      <c r="S147" s="41">
        <f t="shared" si="63"/>
        <v>0</v>
      </c>
      <c r="T147" s="41">
        <f t="shared" si="64"/>
        <v>0</v>
      </c>
      <c r="U147" s="41">
        <f t="shared" si="65"/>
        <v>0</v>
      </c>
      <c r="V147" s="41">
        <f t="shared" si="76"/>
        <v>0</v>
      </c>
      <c r="W147" s="41">
        <f t="shared" si="66"/>
        <v>0</v>
      </c>
      <c r="X147" s="41">
        <f t="shared" si="67"/>
        <v>0</v>
      </c>
      <c r="Y147" s="41">
        <f t="shared" si="67"/>
        <v>0</v>
      </c>
      <c r="Z147" s="41">
        <f t="shared" si="68"/>
        <v>0</v>
      </c>
      <c r="AA147" s="41">
        <f t="shared" si="69"/>
        <v>0</v>
      </c>
      <c r="AB147" s="41">
        <f t="shared" si="70"/>
        <v>0</v>
      </c>
      <c r="AC147" s="41">
        <f t="shared" si="71"/>
        <v>0</v>
      </c>
      <c r="AD147" s="41">
        <f t="shared" si="72"/>
        <v>0</v>
      </c>
      <c r="AE147" s="41">
        <f t="shared" si="73"/>
        <v>0</v>
      </c>
      <c r="AF147" s="41">
        <f t="shared" si="74"/>
        <v>0</v>
      </c>
      <c r="AG147" s="41">
        <f t="shared" si="77"/>
        <v>0</v>
      </c>
      <c r="AH147" s="41">
        <f t="shared" si="75"/>
        <v>0</v>
      </c>
    </row>
    <row r="148" spans="2:34" ht="15" customHeight="1" x14ac:dyDescent="0.3">
      <c r="B148" s="60" t="s">
        <v>40</v>
      </c>
      <c r="C148" s="48">
        <f>499.57</f>
        <v>499.57</v>
      </c>
      <c r="D148" s="48">
        <v>63.65</v>
      </c>
      <c r="E148" s="48">
        <v>0</v>
      </c>
      <c r="F148" s="48">
        <v>359.67</v>
      </c>
      <c r="G148" s="48">
        <v>64.989999999999995</v>
      </c>
      <c r="H148" s="48">
        <v>0</v>
      </c>
      <c r="I148" s="48">
        <v>0</v>
      </c>
      <c r="J148" s="49">
        <v>0</v>
      </c>
      <c r="K148" s="48">
        <f t="shared" si="78"/>
        <v>33.793199999999999</v>
      </c>
      <c r="L148" s="48">
        <v>0</v>
      </c>
      <c r="M148" s="48">
        <f t="shared" si="79"/>
        <v>987.88000000000011</v>
      </c>
      <c r="N148" s="41">
        <f t="shared" si="58"/>
        <v>237.09120000000001</v>
      </c>
      <c r="O148" s="41">
        <f t="shared" si="59"/>
        <v>78.207169959600009</v>
      </c>
      <c r="P148" s="41">
        <f t="shared" si="60"/>
        <v>65.858669959600007</v>
      </c>
      <c r="Q148" s="41">
        <f t="shared" si="61"/>
        <v>78.207169959600009</v>
      </c>
      <c r="R148" s="41">
        <f t="shared" si="62"/>
        <v>0</v>
      </c>
      <c r="S148" s="41">
        <f t="shared" si="63"/>
        <v>51.863700000000001</v>
      </c>
      <c r="T148" s="41">
        <f t="shared" si="64"/>
        <v>39.515200000000007</v>
      </c>
      <c r="U148" s="41">
        <f t="shared" si="65"/>
        <v>19.757600000000004</v>
      </c>
      <c r="V148" s="41">
        <f t="shared" si="76"/>
        <v>19.757600000000004</v>
      </c>
      <c r="W148" s="41">
        <f t="shared" si="66"/>
        <v>39.515200000000007</v>
      </c>
      <c r="X148" s="41">
        <f t="shared" si="67"/>
        <v>0</v>
      </c>
      <c r="Y148" s="41">
        <f t="shared" si="67"/>
        <v>0</v>
      </c>
      <c r="Z148" s="41">
        <f t="shared" si="68"/>
        <v>12.348500000000001</v>
      </c>
      <c r="AA148" s="41">
        <f t="shared" si="69"/>
        <v>0</v>
      </c>
      <c r="AB148" s="41">
        <f t="shared" si="70"/>
        <v>49.394000000000005</v>
      </c>
      <c r="AC148" s="41">
        <f t="shared" si="71"/>
        <v>49.394000000000005</v>
      </c>
      <c r="AD148" s="41">
        <f t="shared" si="72"/>
        <v>49.394000000000005</v>
      </c>
      <c r="AE148" s="41">
        <f t="shared" si="73"/>
        <v>197.57600000000002</v>
      </c>
      <c r="AF148" s="41">
        <f t="shared" si="74"/>
        <v>0</v>
      </c>
      <c r="AG148" s="41">
        <f t="shared" si="77"/>
        <v>0</v>
      </c>
      <c r="AH148" s="41">
        <f t="shared" si="75"/>
        <v>0</v>
      </c>
    </row>
    <row r="149" spans="2:34" ht="15" customHeight="1" x14ac:dyDescent="0.3">
      <c r="B149" s="60" t="s">
        <v>209</v>
      </c>
      <c r="C149" s="48">
        <f>443.31</f>
        <v>443.31</v>
      </c>
      <c r="D149" s="48">
        <v>0</v>
      </c>
      <c r="E149" s="48">
        <v>0</v>
      </c>
      <c r="F149" s="48">
        <v>371.03</v>
      </c>
      <c r="G149" s="48">
        <v>64.25</v>
      </c>
      <c r="H149" s="48">
        <v>0</v>
      </c>
      <c r="I149" s="48">
        <v>0</v>
      </c>
      <c r="J149" s="49">
        <v>0</v>
      </c>
      <c r="K149" s="48">
        <f t="shared" si="78"/>
        <v>26.598599999999998</v>
      </c>
      <c r="L149" s="48">
        <v>0</v>
      </c>
      <c r="M149" s="48">
        <f t="shared" si="79"/>
        <v>878.58999999999992</v>
      </c>
      <c r="N149" s="41">
        <f t="shared" si="58"/>
        <v>210.86159999999998</v>
      </c>
      <c r="O149" s="41">
        <f t="shared" si="59"/>
        <v>69.555044595299989</v>
      </c>
      <c r="P149" s="41">
        <f t="shared" si="60"/>
        <v>58.572669595299992</v>
      </c>
      <c r="Q149" s="41">
        <f t="shared" si="61"/>
        <v>69.555044595299989</v>
      </c>
      <c r="R149" s="41">
        <f t="shared" si="62"/>
        <v>0</v>
      </c>
      <c r="S149" s="41">
        <f t="shared" si="63"/>
        <v>46.125974999999997</v>
      </c>
      <c r="T149" s="41">
        <f t="shared" si="64"/>
        <v>35.143599999999999</v>
      </c>
      <c r="U149" s="41">
        <f t="shared" si="65"/>
        <v>17.5718</v>
      </c>
      <c r="V149" s="41">
        <f t="shared" si="76"/>
        <v>17.5718</v>
      </c>
      <c r="W149" s="41">
        <f t="shared" si="66"/>
        <v>35.143599999999999</v>
      </c>
      <c r="X149" s="41">
        <f t="shared" si="67"/>
        <v>0</v>
      </c>
      <c r="Y149" s="41">
        <f t="shared" si="67"/>
        <v>0</v>
      </c>
      <c r="Z149" s="41">
        <f t="shared" si="68"/>
        <v>10.982374999999999</v>
      </c>
      <c r="AA149" s="41">
        <f t="shared" si="69"/>
        <v>0</v>
      </c>
      <c r="AB149" s="41">
        <f t="shared" si="70"/>
        <v>43.929499999999997</v>
      </c>
      <c r="AC149" s="41">
        <f t="shared" si="71"/>
        <v>43.929499999999997</v>
      </c>
      <c r="AD149" s="41">
        <f t="shared" si="72"/>
        <v>43.929499999999997</v>
      </c>
      <c r="AE149" s="41">
        <f t="shared" si="73"/>
        <v>175.71799999999999</v>
      </c>
      <c r="AF149" s="41">
        <f t="shared" si="74"/>
        <v>0</v>
      </c>
      <c r="AG149" s="41">
        <f t="shared" si="77"/>
        <v>0</v>
      </c>
      <c r="AH149" s="41">
        <f t="shared" si="75"/>
        <v>0</v>
      </c>
    </row>
    <row r="150" spans="2:34" ht="15" customHeight="1" x14ac:dyDescent="0.3">
      <c r="B150" s="60" t="s">
        <v>210</v>
      </c>
      <c r="C150" s="48">
        <f>564.24-229.07</f>
        <v>335.17</v>
      </c>
      <c r="D150" s="48">
        <v>0</v>
      </c>
      <c r="E150" s="48">
        <v>0</v>
      </c>
      <c r="F150" s="48">
        <v>439.13</v>
      </c>
      <c r="G150" s="48">
        <v>75.7</v>
      </c>
      <c r="H150" s="48">
        <v>0</v>
      </c>
      <c r="I150" s="48">
        <v>0</v>
      </c>
      <c r="J150" s="49">
        <v>0</v>
      </c>
      <c r="K150" s="48">
        <f t="shared" si="78"/>
        <v>20.110199999999999</v>
      </c>
      <c r="L150" s="48">
        <v>564.24</v>
      </c>
      <c r="M150" s="48">
        <f t="shared" si="79"/>
        <v>1414.24</v>
      </c>
      <c r="N150" s="41">
        <f t="shared" si="58"/>
        <v>339.41759999999999</v>
      </c>
      <c r="O150" s="41">
        <f t="shared" si="59"/>
        <v>111.96067138079999</v>
      </c>
      <c r="P150" s="41">
        <f t="shared" si="60"/>
        <v>94.282671380799997</v>
      </c>
      <c r="Q150" s="41">
        <f t="shared" si="61"/>
        <v>111.96067138079999</v>
      </c>
      <c r="R150" s="41">
        <f t="shared" si="62"/>
        <v>0</v>
      </c>
      <c r="S150" s="41">
        <f t="shared" si="63"/>
        <v>74.247599999999991</v>
      </c>
      <c r="T150" s="41">
        <f t="shared" si="64"/>
        <v>56.569600000000001</v>
      </c>
      <c r="U150" s="41">
        <f t="shared" si="65"/>
        <v>28.284800000000001</v>
      </c>
      <c r="V150" s="41">
        <f t="shared" si="76"/>
        <v>28.284800000000001</v>
      </c>
      <c r="W150" s="41">
        <f t="shared" si="66"/>
        <v>56.569600000000001</v>
      </c>
      <c r="X150" s="41">
        <f t="shared" si="67"/>
        <v>0</v>
      </c>
      <c r="Y150" s="41">
        <f t="shared" si="67"/>
        <v>0</v>
      </c>
      <c r="Z150" s="41">
        <f t="shared" si="68"/>
        <v>17.678000000000001</v>
      </c>
      <c r="AA150" s="41">
        <f t="shared" si="69"/>
        <v>0</v>
      </c>
      <c r="AB150" s="41">
        <f t="shared" si="70"/>
        <v>70.712000000000003</v>
      </c>
      <c r="AC150" s="41">
        <f t="shared" si="71"/>
        <v>70.712000000000003</v>
      </c>
      <c r="AD150" s="41">
        <f t="shared" si="72"/>
        <v>70.712000000000003</v>
      </c>
      <c r="AE150" s="41">
        <f t="shared" si="73"/>
        <v>282.84800000000001</v>
      </c>
      <c r="AF150" s="41">
        <f t="shared" si="74"/>
        <v>0</v>
      </c>
      <c r="AG150" s="41">
        <f t="shared" si="77"/>
        <v>0</v>
      </c>
      <c r="AH150" s="41">
        <f t="shared" si="75"/>
        <v>0</v>
      </c>
    </row>
    <row r="151" spans="2:34" ht="15" customHeight="1" x14ac:dyDescent="0.3">
      <c r="B151" s="60" t="s">
        <v>211</v>
      </c>
      <c r="C151" s="48">
        <v>484.12</v>
      </c>
      <c r="D151" s="48">
        <v>0</v>
      </c>
      <c r="E151" s="48">
        <v>0</v>
      </c>
      <c r="F151" s="48">
        <v>388.63</v>
      </c>
      <c r="G151" s="48">
        <v>73.22</v>
      </c>
      <c r="H151" s="48">
        <v>0</v>
      </c>
      <c r="I151" s="48">
        <v>0</v>
      </c>
      <c r="J151" s="49">
        <v>0</v>
      </c>
      <c r="K151" s="48">
        <f t="shared" si="78"/>
        <v>29.0472</v>
      </c>
      <c r="L151" s="48">
        <v>0</v>
      </c>
      <c r="M151" s="48">
        <f t="shared" si="79"/>
        <v>945.97</v>
      </c>
      <c r="N151" s="41">
        <f t="shared" si="58"/>
        <v>227.03280000000001</v>
      </c>
      <c r="O151" s="41">
        <f t="shared" si="59"/>
        <v>74.889294819900002</v>
      </c>
      <c r="P151" s="41">
        <f t="shared" si="60"/>
        <v>63.064669819899997</v>
      </c>
      <c r="Q151" s="41">
        <f t="shared" si="61"/>
        <v>74.889294819900002</v>
      </c>
      <c r="R151" s="41">
        <f t="shared" si="62"/>
        <v>0</v>
      </c>
      <c r="S151" s="41">
        <f t="shared" si="63"/>
        <v>49.663424999999997</v>
      </c>
      <c r="T151" s="41">
        <f t="shared" si="64"/>
        <v>37.838799999999999</v>
      </c>
      <c r="U151" s="41">
        <f t="shared" si="65"/>
        <v>18.9194</v>
      </c>
      <c r="V151" s="41">
        <f t="shared" si="76"/>
        <v>18.9194</v>
      </c>
      <c r="W151" s="41">
        <f t="shared" si="66"/>
        <v>37.838799999999999</v>
      </c>
      <c r="X151" s="41">
        <f t="shared" si="67"/>
        <v>0</v>
      </c>
      <c r="Y151" s="41">
        <f t="shared" si="67"/>
        <v>0</v>
      </c>
      <c r="Z151" s="41">
        <f t="shared" si="68"/>
        <v>11.824625000000001</v>
      </c>
      <c r="AA151" s="41">
        <f t="shared" si="69"/>
        <v>0</v>
      </c>
      <c r="AB151" s="41">
        <f t="shared" si="70"/>
        <v>47.298500000000004</v>
      </c>
      <c r="AC151" s="41">
        <f t="shared" si="71"/>
        <v>47.298500000000004</v>
      </c>
      <c r="AD151" s="41">
        <f t="shared" si="72"/>
        <v>47.298500000000004</v>
      </c>
      <c r="AE151" s="41">
        <f t="shared" si="73"/>
        <v>189.19400000000002</v>
      </c>
      <c r="AF151" s="41">
        <f t="shared" si="74"/>
        <v>0</v>
      </c>
      <c r="AG151" s="41">
        <f t="shared" si="77"/>
        <v>0</v>
      </c>
      <c r="AH151" s="41">
        <f t="shared" si="75"/>
        <v>0</v>
      </c>
    </row>
    <row r="152" spans="2:34" ht="15" customHeight="1" x14ac:dyDescent="0.3">
      <c r="B152" s="60" t="s">
        <v>41</v>
      </c>
      <c r="C152" s="48">
        <f>662.19</f>
        <v>662.19</v>
      </c>
      <c r="D152" s="48">
        <v>0</v>
      </c>
      <c r="E152" s="48">
        <v>0</v>
      </c>
      <c r="F152" s="48">
        <v>197.28</v>
      </c>
      <c r="G152" s="48">
        <v>37.159999999999997</v>
      </c>
      <c r="H152" s="48">
        <v>0</v>
      </c>
      <c r="I152" s="48">
        <v>0</v>
      </c>
      <c r="J152" s="49">
        <v>0</v>
      </c>
      <c r="K152" s="48">
        <f t="shared" si="78"/>
        <v>39.731400000000001</v>
      </c>
      <c r="L152" s="48">
        <v>0</v>
      </c>
      <c r="M152" s="48">
        <f t="shared" si="79"/>
        <v>896.63</v>
      </c>
      <c r="N152" s="41">
        <f t="shared" si="58"/>
        <v>215.19119999999998</v>
      </c>
      <c r="O152" s="41">
        <f t="shared" si="59"/>
        <v>70.98321132209999</v>
      </c>
      <c r="P152" s="41">
        <f t="shared" si="60"/>
        <v>59.775336322099996</v>
      </c>
      <c r="Q152" s="41">
        <f t="shared" si="61"/>
        <v>70.98321132209999</v>
      </c>
      <c r="R152" s="41">
        <f t="shared" si="62"/>
        <v>0</v>
      </c>
      <c r="S152" s="41">
        <f t="shared" si="63"/>
        <v>47.073074999999996</v>
      </c>
      <c r="T152" s="41">
        <f t="shared" si="64"/>
        <v>35.865200000000002</v>
      </c>
      <c r="U152" s="41">
        <f t="shared" si="65"/>
        <v>17.932600000000001</v>
      </c>
      <c r="V152" s="41">
        <f t="shared" si="76"/>
        <v>17.932600000000001</v>
      </c>
      <c r="W152" s="41">
        <f t="shared" si="66"/>
        <v>35.865200000000002</v>
      </c>
      <c r="X152" s="41">
        <f t="shared" si="67"/>
        <v>0</v>
      </c>
      <c r="Y152" s="41">
        <f t="shared" si="67"/>
        <v>0</v>
      </c>
      <c r="Z152" s="41">
        <f t="shared" si="68"/>
        <v>11.207875000000001</v>
      </c>
      <c r="AA152" s="41">
        <f t="shared" si="69"/>
        <v>0</v>
      </c>
      <c r="AB152" s="41">
        <f t="shared" si="70"/>
        <v>44.831500000000005</v>
      </c>
      <c r="AC152" s="41">
        <f t="shared" si="71"/>
        <v>44.831500000000005</v>
      </c>
      <c r="AD152" s="41">
        <f t="shared" si="72"/>
        <v>44.831500000000005</v>
      </c>
      <c r="AE152" s="41">
        <f t="shared" si="73"/>
        <v>179.32600000000002</v>
      </c>
      <c r="AF152" s="41">
        <f t="shared" si="74"/>
        <v>0</v>
      </c>
      <c r="AG152" s="41">
        <f t="shared" si="77"/>
        <v>0</v>
      </c>
      <c r="AH152" s="41">
        <f t="shared" si="75"/>
        <v>0</v>
      </c>
    </row>
    <row r="153" spans="2:34" ht="15" customHeight="1" x14ac:dyDescent="0.3">
      <c r="B153" s="60" t="s">
        <v>42</v>
      </c>
      <c r="C153" s="48">
        <v>0</v>
      </c>
      <c r="D153" s="48">
        <v>0</v>
      </c>
      <c r="E153" s="48">
        <v>0</v>
      </c>
      <c r="F153" s="48">
        <v>0</v>
      </c>
      <c r="G153" s="48">
        <v>0</v>
      </c>
      <c r="H153" s="48">
        <v>0</v>
      </c>
      <c r="I153" s="48">
        <v>0</v>
      </c>
      <c r="J153" s="49">
        <v>0</v>
      </c>
      <c r="K153" s="48">
        <f t="shared" si="78"/>
        <v>0</v>
      </c>
      <c r="L153" s="48">
        <v>0</v>
      </c>
      <c r="M153" s="48">
        <f t="shared" si="79"/>
        <v>0</v>
      </c>
      <c r="N153" s="41">
        <f t="shared" si="58"/>
        <v>0</v>
      </c>
      <c r="O153" s="41">
        <f t="shared" si="59"/>
        <v>0</v>
      </c>
      <c r="P153" s="41">
        <f t="shared" si="60"/>
        <v>0</v>
      </c>
      <c r="Q153" s="41">
        <f t="shared" si="61"/>
        <v>0</v>
      </c>
      <c r="R153" s="41">
        <f t="shared" si="62"/>
        <v>0</v>
      </c>
      <c r="S153" s="41">
        <f t="shared" si="63"/>
        <v>0</v>
      </c>
      <c r="T153" s="41">
        <f t="shared" si="64"/>
        <v>0</v>
      </c>
      <c r="U153" s="41">
        <f t="shared" si="65"/>
        <v>0</v>
      </c>
      <c r="V153" s="41">
        <f t="shared" si="76"/>
        <v>0</v>
      </c>
      <c r="W153" s="41">
        <f t="shared" si="66"/>
        <v>0</v>
      </c>
      <c r="X153" s="41">
        <f t="shared" si="67"/>
        <v>0</v>
      </c>
      <c r="Y153" s="41">
        <f t="shared" si="67"/>
        <v>0</v>
      </c>
      <c r="Z153" s="41">
        <f t="shared" si="68"/>
        <v>0</v>
      </c>
      <c r="AA153" s="41">
        <f t="shared" si="69"/>
        <v>0</v>
      </c>
      <c r="AB153" s="41">
        <f t="shared" si="70"/>
        <v>0</v>
      </c>
      <c r="AC153" s="41">
        <f t="shared" si="71"/>
        <v>0</v>
      </c>
      <c r="AD153" s="41">
        <f t="shared" si="72"/>
        <v>0</v>
      </c>
      <c r="AE153" s="41">
        <f t="shared" si="73"/>
        <v>0</v>
      </c>
      <c r="AF153" s="41">
        <f t="shared" si="74"/>
        <v>0</v>
      </c>
      <c r="AG153" s="41">
        <f t="shared" si="77"/>
        <v>0</v>
      </c>
      <c r="AH153" s="41">
        <f t="shared" si="75"/>
        <v>0</v>
      </c>
    </row>
    <row r="154" spans="2:34" ht="15" customHeight="1" x14ac:dyDescent="0.3">
      <c r="B154" s="60" t="s">
        <v>43</v>
      </c>
      <c r="C154" s="48">
        <v>441.43</v>
      </c>
      <c r="D154" s="48">
        <v>0</v>
      </c>
      <c r="E154" s="48">
        <v>0</v>
      </c>
      <c r="F154" s="48">
        <v>390.7</v>
      </c>
      <c r="G154" s="48">
        <v>74.77</v>
      </c>
      <c r="H154" s="48">
        <v>0</v>
      </c>
      <c r="I154" s="48">
        <v>0</v>
      </c>
      <c r="J154" s="49">
        <v>0</v>
      </c>
      <c r="K154" s="48">
        <f t="shared" si="78"/>
        <v>26.485800000000001</v>
      </c>
      <c r="L154" s="48">
        <v>0</v>
      </c>
      <c r="M154" s="48">
        <f t="shared" si="79"/>
        <v>906.9</v>
      </c>
      <c r="N154" s="41">
        <f t="shared" si="58"/>
        <v>217.65599999999998</v>
      </c>
      <c r="O154" s="41">
        <f t="shared" si="59"/>
        <v>71.796253022999991</v>
      </c>
      <c r="P154" s="41">
        <f t="shared" si="60"/>
        <v>60.460003022999999</v>
      </c>
      <c r="Q154" s="41">
        <f t="shared" si="61"/>
        <v>71.796253022999991</v>
      </c>
      <c r="R154" s="41">
        <f t="shared" si="62"/>
        <v>0</v>
      </c>
      <c r="S154" s="41">
        <f t="shared" si="63"/>
        <v>47.612249999999996</v>
      </c>
      <c r="T154" s="41">
        <f t="shared" si="64"/>
        <v>36.276000000000003</v>
      </c>
      <c r="U154" s="41">
        <f t="shared" si="65"/>
        <v>18.138000000000002</v>
      </c>
      <c r="V154" s="41">
        <f t="shared" si="76"/>
        <v>18.138000000000002</v>
      </c>
      <c r="W154" s="41">
        <f t="shared" si="66"/>
        <v>36.276000000000003</v>
      </c>
      <c r="X154" s="41">
        <f t="shared" si="67"/>
        <v>0</v>
      </c>
      <c r="Y154" s="41">
        <f t="shared" si="67"/>
        <v>0</v>
      </c>
      <c r="Z154" s="41">
        <f t="shared" si="68"/>
        <v>11.33625</v>
      </c>
      <c r="AA154" s="41">
        <f t="shared" si="69"/>
        <v>0</v>
      </c>
      <c r="AB154" s="41">
        <f t="shared" si="70"/>
        <v>45.344999999999999</v>
      </c>
      <c r="AC154" s="41">
        <f t="shared" si="71"/>
        <v>45.344999999999999</v>
      </c>
      <c r="AD154" s="41">
        <f t="shared" si="72"/>
        <v>45.344999999999999</v>
      </c>
      <c r="AE154" s="41">
        <f t="shared" si="73"/>
        <v>181.38</v>
      </c>
      <c r="AF154" s="41">
        <f t="shared" si="74"/>
        <v>0</v>
      </c>
      <c r="AG154" s="41">
        <f t="shared" si="77"/>
        <v>0</v>
      </c>
      <c r="AH154" s="41">
        <f t="shared" si="75"/>
        <v>0</v>
      </c>
    </row>
    <row r="155" spans="2:34" ht="15" customHeight="1" x14ac:dyDescent="0.3">
      <c r="B155" s="60" t="s">
        <v>43</v>
      </c>
      <c r="C155" s="48">
        <v>0</v>
      </c>
      <c r="D155" s="48">
        <v>0</v>
      </c>
      <c r="E155" s="48">
        <v>391.55</v>
      </c>
      <c r="F155" s="48">
        <v>0</v>
      </c>
      <c r="G155" s="48">
        <v>0</v>
      </c>
      <c r="H155" s="48">
        <v>0</v>
      </c>
      <c r="I155" s="48">
        <v>0</v>
      </c>
      <c r="J155" s="49">
        <v>0</v>
      </c>
      <c r="K155" s="48">
        <f t="shared" si="78"/>
        <v>23.492999999999999</v>
      </c>
      <c r="L155" s="48">
        <v>0</v>
      </c>
      <c r="M155" s="48">
        <f t="shared" si="79"/>
        <v>391.55</v>
      </c>
      <c r="N155" s="41">
        <f t="shared" si="58"/>
        <v>93.971999999999994</v>
      </c>
      <c r="O155" s="41">
        <f t="shared" si="59"/>
        <v>30.997709638499998</v>
      </c>
      <c r="P155" s="41">
        <f t="shared" si="60"/>
        <v>26.103334638499998</v>
      </c>
      <c r="Q155" s="41">
        <f t="shared" si="61"/>
        <v>30.997709638499998</v>
      </c>
      <c r="R155" s="41">
        <f t="shared" si="62"/>
        <v>0</v>
      </c>
      <c r="S155" s="41">
        <f t="shared" si="63"/>
        <v>20.556374999999999</v>
      </c>
      <c r="T155" s="41">
        <f t="shared" si="64"/>
        <v>15.662000000000001</v>
      </c>
      <c r="U155" s="41">
        <f t="shared" si="65"/>
        <v>7.8310000000000004</v>
      </c>
      <c r="V155" s="41">
        <f t="shared" si="76"/>
        <v>7.8310000000000004</v>
      </c>
      <c r="W155" s="41">
        <f t="shared" si="66"/>
        <v>15.662000000000001</v>
      </c>
      <c r="X155" s="41">
        <f t="shared" si="67"/>
        <v>0</v>
      </c>
      <c r="Y155" s="41">
        <f t="shared" si="67"/>
        <v>0</v>
      </c>
      <c r="Z155" s="41">
        <f t="shared" si="68"/>
        <v>4.8943750000000001</v>
      </c>
      <c r="AA155" s="41">
        <f t="shared" si="69"/>
        <v>0</v>
      </c>
      <c r="AB155" s="41">
        <f t="shared" si="70"/>
        <v>19.577500000000001</v>
      </c>
      <c r="AC155" s="41">
        <f t="shared" si="71"/>
        <v>19.577500000000001</v>
      </c>
      <c r="AD155" s="41">
        <f t="shared" si="72"/>
        <v>19.577500000000001</v>
      </c>
      <c r="AE155" s="41">
        <f t="shared" si="73"/>
        <v>78.31</v>
      </c>
      <c r="AF155" s="41">
        <f t="shared" si="74"/>
        <v>0</v>
      </c>
      <c r="AG155" s="41">
        <f t="shared" si="77"/>
        <v>0</v>
      </c>
      <c r="AH155" s="41">
        <f t="shared" si="75"/>
        <v>0</v>
      </c>
    </row>
    <row r="156" spans="2:34" ht="15" customHeight="1" x14ac:dyDescent="0.3">
      <c r="B156" s="60" t="s">
        <v>212</v>
      </c>
      <c r="C156" s="48">
        <v>0</v>
      </c>
      <c r="D156" s="48">
        <v>0</v>
      </c>
      <c r="E156" s="48">
        <v>0</v>
      </c>
      <c r="F156" s="48">
        <v>0</v>
      </c>
      <c r="G156" s="48">
        <v>0</v>
      </c>
      <c r="H156" s="48">
        <v>0</v>
      </c>
      <c r="I156" s="48">
        <v>0</v>
      </c>
      <c r="J156" s="49">
        <v>0</v>
      </c>
      <c r="K156" s="48">
        <f t="shared" si="78"/>
        <v>0</v>
      </c>
      <c r="L156" s="48">
        <v>0</v>
      </c>
      <c r="M156" s="48">
        <f t="shared" si="79"/>
        <v>0</v>
      </c>
      <c r="N156" s="41">
        <f t="shared" si="58"/>
        <v>0</v>
      </c>
      <c r="O156" s="41">
        <f t="shared" si="59"/>
        <v>0</v>
      </c>
      <c r="P156" s="41">
        <f t="shared" si="60"/>
        <v>0</v>
      </c>
      <c r="Q156" s="41">
        <f t="shared" si="61"/>
        <v>0</v>
      </c>
      <c r="R156" s="41">
        <f t="shared" si="62"/>
        <v>0</v>
      </c>
      <c r="S156" s="41">
        <f t="shared" si="63"/>
        <v>0</v>
      </c>
      <c r="T156" s="41">
        <f t="shared" si="64"/>
        <v>0</v>
      </c>
      <c r="U156" s="41">
        <f t="shared" si="65"/>
        <v>0</v>
      </c>
      <c r="V156" s="41">
        <f t="shared" si="76"/>
        <v>0</v>
      </c>
      <c r="W156" s="41">
        <f t="shared" si="66"/>
        <v>0</v>
      </c>
      <c r="X156" s="41">
        <f t="shared" si="67"/>
        <v>0</v>
      </c>
      <c r="Y156" s="41">
        <f t="shared" si="67"/>
        <v>0</v>
      </c>
      <c r="Z156" s="41">
        <f t="shared" si="68"/>
        <v>0</v>
      </c>
      <c r="AA156" s="41">
        <f t="shared" si="69"/>
        <v>0</v>
      </c>
      <c r="AB156" s="41">
        <f t="shared" si="70"/>
        <v>0</v>
      </c>
      <c r="AC156" s="41">
        <f t="shared" si="71"/>
        <v>0</v>
      </c>
      <c r="AD156" s="41">
        <f t="shared" si="72"/>
        <v>0</v>
      </c>
      <c r="AE156" s="41">
        <f t="shared" si="73"/>
        <v>0</v>
      </c>
      <c r="AF156" s="41">
        <f t="shared" si="74"/>
        <v>0</v>
      </c>
      <c r="AG156" s="41">
        <f t="shared" si="77"/>
        <v>0</v>
      </c>
      <c r="AH156" s="41">
        <f t="shared" si="75"/>
        <v>0</v>
      </c>
    </row>
    <row r="157" spans="2:34" ht="15" customHeight="1" x14ac:dyDescent="0.3">
      <c r="B157" s="60" t="s">
        <v>213</v>
      </c>
      <c r="C157" s="48">
        <v>0</v>
      </c>
      <c r="D157" s="48">
        <v>0</v>
      </c>
      <c r="E157" s="48">
        <v>0</v>
      </c>
      <c r="F157" s="48">
        <v>0</v>
      </c>
      <c r="G157" s="48">
        <v>0</v>
      </c>
      <c r="H157" s="48">
        <v>0</v>
      </c>
      <c r="I157" s="48">
        <v>0</v>
      </c>
      <c r="J157" s="49">
        <v>0</v>
      </c>
      <c r="K157" s="48">
        <f t="shared" si="78"/>
        <v>0</v>
      </c>
      <c r="L157" s="48">
        <v>0</v>
      </c>
      <c r="M157" s="48">
        <f t="shared" si="79"/>
        <v>0</v>
      </c>
      <c r="N157" s="41">
        <f t="shared" si="58"/>
        <v>0</v>
      </c>
      <c r="O157" s="41">
        <f t="shared" si="59"/>
        <v>0</v>
      </c>
      <c r="P157" s="41">
        <f t="shared" si="60"/>
        <v>0</v>
      </c>
      <c r="Q157" s="41">
        <f t="shared" si="61"/>
        <v>0</v>
      </c>
      <c r="R157" s="41">
        <f t="shared" si="62"/>
        <v>0</v>
      </c>
      <c r="S157" s="41">
        <f t="shared" si="63"/>
        <v>0</v>
      </c>
      <c r="T157" s="41">
        <f t="shared" si="64"/>
        <v>0</v>
      </c>
      <c r="U157" s="41">
        <f t="shared" si="65"/>
        <v>0</v>
      </c>
      <c r="V157" s="41">
        <f t="shared" si="76"/>
        <v>0</v>
      </c>
      <c r="W157" s="41">
        <f t="shared" si="66"/>
        <v>0</v>
      </c>
      <c r="X157" s="41">
        <f t="shared" si="67"/>
        <v>0</v>
      </c>
      <c r="Y157" s="41">
        <f t="shared" si="67"/>
        <v>0</v>
      </c>
      <c r="Z157" s="41">
        <f t="shared" si="68"/>
        <v>0</v>
      </c>
      <c r="AA157" s="41">
        <f t="shared" si="69"/>
        <v>0</v>
      </c>
      <c r="AB157" s="41">
        <f t="shared" si="70"/>
        <v>0</v>
      </c>
      <c r="AC157" s="41">
        <f t="shared" si="71"/>
        <v>0</v>
      </c>
      <c r="AD157" s="41">
        <f t="shared" si="72"/>
        <v>0</v>
      </c>
      <c r="AE157" s="41">
        <f t="shared" si="73"/>
        <v>0</v>
      </c>
      <c r="AF157" s="41">
        <f t="shared" si="74"/>
        <v>0</v>
      </c>
      <c r="AG157" s="41">
        <f t="shared" si="77"/>
        <v>0</v>
      </c>
      <c r="AH157" s="41">
        <f t="shared" si="75"/>
        <v>0</v>
      </c>
    </row>
    <row r="158" spans="2:34" ht="15" customHeight="1" x14ac:dyDescent="0.3">
      <c r="B158" s="60" t="s">
        <v>214</v>
      </c>
      <c r="C158" s="48">
        <v>0</v>
      </c>
      <c r="D158" s="48">
        <v>0</v>
      </c>
      <c r="E158" s="48">
        <v>0</v>
      </c>
      <c r="F158" s="48">
        <v>0</v>
      </c>
      <c r="G158" s="48">
        <v>0</v>
      </c>
      <c r="H158" s="48">
        <v>0</v>
      </c>
      <c r="I158" s="48">
        <v>0</v>
      </c>
      <c r="J158" s="49">
        <v>0</v>
      </c>
      <c r="K158" s="48">
        <f t="shared" si="78"/>
        <v>0</v>
      </c>
      <c r="L158" s="48">
        <v>0</v>
      </c>
      <c r="M158" s="48">
        <f t="shared" si="79"/>
        <v>0</v>
      </c>
      <c r="N158" s="41">
        <f t="shared" si="58"/>
        <v>0</v>
      </c>
      <c r="O158" s="41">
        <f t="shared" si="59"/>
        <v>0</v>
      </c>
      <c r="P158" s="41">
        <f t="shared" si="60"/>
        <v>0</v>
      </c>
      <c r="Q158" s="41">
        <f t="shared" si="61"/>
        <v>0</v>
      </c>
      <c r="R158" s="41">
        <f t="shared" si="62"/>
        <v>0</v>
      </c>
      <c r="S158" s="41">
        <f t="shared" si="63"/>
        <v>0</v>
      </c>
      <c r="T158" s="41">
        <f t="shared" si="64"/>
        <v>0</v>
      </c>
      <c r="U158" s="41">
        <f t="shared" si="65"/>
        <v>0</v>
      </c>
      <c r="V158" s="41">
        <f t="shared" si="76"/>
        <v>0</v>
      </c>
      <c r="W158" s="41">
        <f t="shared" si="66"/>
        <v>0</v>
      </c>
      <c r="X158" s="41">
        <f t="shared" si="67"/>
        <v>0</v>
      </c>
      <c r="Y158" s="41">
        <f t="shared" si="67"/>
        <v>0</v>
      </c>
      <c r="Z158" s="41">
        <f t="shared" si="68"/>
        <v>0</v>
      </c>
      <c r="AA158" s="41">
        <f t="shared" si="69"/>
        <v>0</v>
      </c>
      <c r="AB158" s="41">
        <f t="shared" si="70"/>
        <v>0</v>
      </c>
      <c r="AC158" s="41">
        <f t="shared" si="71"/>
        <v>0</v>
      </c>
      <c r="AD158" s="41">
        <f t="shared" si="72"/>
        <v>0</v>
      </c>
      <c r="AE158" s="41">
        <f t="shared" si="73"/>
        <v>0</v>
      </c>
      <c r="AF158" s="41">
        <f t="shared" si="74"/>
        <v>0</v>
      </c>
      <c r="AG158" s="41">
        <f t="shared" si="77"/>
        <v>0</v>
      </c>
      <c r="AH158" s="41">
        <f t="shared" si="75"/>
        <v>0</v>
      </c>
    </row>
    <row r="159" spans="2:34" ht="15" customHeight="1" x14ac:dyDescent="0.3">
      <c r="B159" s="60" t="s">
        <v>215</v>
      </c>
      <c r="C159" s="48">
        <v>381.53</v>
      </c>
      <c r="D159" s="48">
        <v>0</v>
      </c>
      <c r="E159" s="48">
        <v>0</v>
      </c>
      <c r="F159" s="48">
        <v>706.88</v>
      </c>
      <c r="G159" s="48">
        <v>120.06</v>
      </c>
      <c r="H159" s="48">
        <v>0</v>
      </c>
      <c r="I159" s="48">
        <v>0</v>
      </c>
      <c r="J159" s="49">
        <v>0</v>
      </c>
      <c r="K159" s="48">
        <f t="shared" si="78"/>
        <v>22.891799999999996</v>
      </c>
      <c r="L159" s="48">
        <v>0</v>
      </c>
      <c r="M159" s="48">
        <f t="shared" si="79"/>
        <v>1208.4699999999998</v>
      </c>
      <c r="N159" s="41">
        <f t="shared" si="58"/>
        <v>290.03279999999995</v>
      </c>
      <c r="O159" s="41">
        <f t="shared" si="59"/>
        <v>95.670545694899971</v>
      </c>
      <c r="P159" s="41">
        <f t="shared" si="60"/>
        <v>80.564670694899988</v>
      </c>
      <c r="Q159" s="41">
        <f t="shared" si="61"/>
        <v>95.670545694899971</v>
      </c>
      <c r="R159" s="41">
        <f t="shared" si="62"/>
        <v>0</v>
      </c>
      <c r="S159" s="41">
        <f t="shared" si="63"/>
        <v>63.444674999999989</v>
      </c>
      <c r="T159" s="41">
        <f t="shared" si="64"/>
        <v>48.338799999999992</v>
      </c>
      <c r="U159" s="41">
        <f t="shared" si="65"/>
        <v>24.169399999999996</v>
      </c>
      <c r="V159" s="41">
        <f t="shared" si="76"/>
        <v>24.169399999999996</v>
      </c>
      <c r="W159" s="41">
        <f t="shared" si="66"/>
        <v>48.338799999999992</v>
      </c>
      <c r="X159" s="41">
        <f t="shared" si="67"/>
        <v>0</v>
      </c>
      <c r="Y159" s="41">
        <f t="shared" si="67"/>
        <v>0</v>
      </c>
      <c r="Z159" s="41">
        <f t="shared" si="68"/>
        <v>15.105874999999997</v>
      </c>
      <c r="AA159" s="41">
        <f t="shared" si="69"/>
        <v>0</v>
      </c>
      <c r="AB159" s="41">
        <f t="shared" si="70"/>
        <v>60.42349999999999</v>
      </c>
      <c r="AC159" s="41">
        <f t="shared" si="71"/>
        <v>60.42349999999999</v>
      </c>
      <c r="AD159" s="41">
        <f t="shared" si="72"/>
        <v>60.42349999999999</v>
      </c>
      <c r="AE159" s="41">
        <f t="shared" si="73"/>
        <v>241.69399999999996</v>
      </c>
      <c r="AF159" s="41">
        <f t="shared" si="74"/>
        <v>0</v>
      </c>
      <c r="AG159" s="41">
        <f t="shared" si="77"/>
        <v>0</v>
      </c>
      <c r="AH159" s="41">
        <f t="shared" si="75"/>
        <v>0</v>
      </c>
    </row>
    <row r="160" spans="2:34" ht="15" customHeight="1" x14ac:dyDescent="0.3">
      <c r="B160" s="60" t="s">
        <v>216</v>
      </c>
      <c r="C160" s="48">
        <v>682.51</v>
      </c>
      <c r="D160" s="48">
        <v>82.08</v>
      </c>
      <c r="E160" s="48">
        <v>0</v>
      </c>
      <c r="F160" s="48">
        <v>363.32</v>
      </c>
      <c r="G160" s="48">
        <v>65.599999999999994</v>
      </c>
      <c r="H160" s="48">
        <v>0</v>
      </c>
      <c r="I160" s="48">
        <v>0</v>
      </c>
      <c r="J160" s="49">
        <v>0</v>
      </c>
      <c r="K160" s="48">
        <f t="shared" si="78"/>
        <v>45.875399999999999</v>
      </c>
      <c r="L160" s="48">
        <v>0</v>
      </c>
      <c r="M160" s="48">
        <f t="shared" si="79"/>
        <v>1193.51</v>
      </c>
      <c r="N160" s="41">
        <f t="shared" si="58"/>
        <v>286.44239999999996</v>
      </c>
      <c r="O160" s="41">
        <f t="shared" si="59"/>
        <v>94.486212311699987</v>
      </c>
      <c r="P160" s="41">
        <f t="shared" si="60"/>
        <v>79.567337311700001</v>
      </c>
      <c r="Q160" s="41">
        <f t="shared" si="61"/>
        <v>94.486212311699987</v>
      </c>
      <c r="R160" s="41">
        <f t="shared" si="62"/>
        <v>0</v>
      </c>
      <c r="S160" s="41">
        <f t="shared" si="63"/>
        <v>62.659274999999994</v>
      </c>
      <c r="T160" s="41">
        <f t="shared" si="64"/>
        <v>47.740400000000001</v>
      </c>
      <c r="U160" s="41">
        <f t="shared" si="65"/>
        <v>23.870200000000001</v>
      </c>
      <c r="V160" s="41">
        <f t="shared" si="76"/>
        <v>23.870200000000001</v>
      </c>
      <c r="W160" s="41">
        <f t="shared" si="66"/>
        <v>47.740400000000001</v>
      </c>
      <c r="X160" s="41">
        <f t="shared" si="67"/>
        <v>0</v>
      </c>
      <c r="Y160" s="41">
        <f t="shared" si="67"/>
        <v>0</v>
      </c>
      <c r="Z160" s="41">
        <f t="shared" si="68"/>
        <v>14.918875</v>
      </c>
      <c r="AA160" s="41">
        <f t="shared" si="69"/>
        <v>0</v>
      </c>
      <c r="AB160" s="41">
        <f t="shared" si="70"/>
        <v>59.6755</v>
      </c>
      <c r="AC160" s="41">
        <f t="shared" si="71"/>
        <v>59.6755</v>
      </c>
      <c r="AD160" s="41">
        <f t="shared" si="72"/>
        <v>59.6755</v>
      </c>
      <c r="AE160" s="41">
        <f t="shared" si="73"/>
        <v>238.702</v>
      </c>
      <c r="AF160" s="41">
        <f t="shared" si="74"/>
        <v>0</v>
      </c>
      <c r="AG160" s="41">
        <f t="shared" si="77"/>
        <v>0</v>
      </c>
      <c r="AH160" s="41">
        <f t="shared" si="75"/>
        <v>0</v>
      </c>
    </row>
    <row r="161" spans="2:34" ht="15" customHeight="1" x14ac:dyDescent="0.3">
      <c r="B161" s="60" t="s">
        <v>216</v>
      </c>
      <c r="C161" s="48">
        <v>0</v>
      </c>
      <c r="D161" s="48">
        <v>0</v>
      </c>
      <c r="E161" s="48">
        <v>642.57000000000005</v>
      </c>
      <c r="F161" s="48">
        <v>0</v>
      </c>
      <c r="G161" s="48">
        <v>0</v>
      </c>
      <c r="H161" s="48">
        <v>0</v>
      </c>
      <c r="I161" s="48">
        <v>0</v>
      </c>
      <c r="J161" s="49">
        <v>0</v>
      </c>
      <c r="K161" s="48">
        <f t="shared" si="78"/>
        <v>38.554200000000002</v>
      </c>
      <c r="L161" s="48">
        <v>0</v>
      </c>
      <c r="M161" s="48">
        <f t="shared" si="79"/>
        <v>642.57000000000005</v>
      </c>
      <c r="N161" s="41">
        <f t="shared" si="58"/>
        <v>154.21680000000001</v>
      </c>
      <c r="O161" s="41">
        <f t="shared" si="59"/>
        <v>50.870127141899999</v>
      </c>
      <c r="P161" s="41">
        <f t="shared" si="60"/>
        <v>42.838002141899999</v>
      </c>
      <c r="Q161" s="41">
        <f t="shared" si="61"/>
        <v>50.870127141899999</v>
      </c>
      <c r="R161" s="41">
        <f t="shared" si="62"/>
        <v>0</v>
      </c>
      <c r="S161" s="41">
        <f t="shared" si="63"/>
        <v>33.734925000000004</v>
      </c>
      <c r="T161" s="41">
        <f t="shared" si="64"/>
        <v>25.702800000000003</v>
      </c>
      <c r="U161" s="41">
        <f t="shared" si="65"/>
        <v>12.851400000000002</v>
      </c>
      <c r="V161" s="41">
        <f t="shared" si="76"/>
        <v>12.851400000000002</v>
      </c>
      <c r="W161" s="41">
        <f t="shared" si="66"/>
        <v>25.702800000000003</v>
      </c>
      <c r="X161" s="41">
        <f t="shared" si="67"/>
        <v>0</v>
      </c>
      <c r="Y161" s="41">
        <f t="shared" si="67"/>
        <v>0</v>
      </c>
      <c r="Z161" s="41">
        <f t="shared" si="68"/>
        <v>8.0321250000000006</v>
      </c>
      <c r="AA161" s="41">
        <f t="shared" si="69"/>
        <v>0</v>
      </c>
      <c r="AB161" s="41">
        <f t="shared" si="70"/>
        <v>32.128500000000003</v>
      </c>
      <c r="AC161" s="41">
        <f t="shared" si="71"/>
        <v>32.128500000000003</v>
      </c>
      <c r="AD161" s="41">
        <f t="shared" si="72"/>
        <v>32.128500000000003</v>
      </c>
      <c r="AE161" s="41">
        <f t="shared" si="73"/>
        <v>128.51400000000001</v>
      </c>
      <c r="AF161" s="41">
        <f t="shared" si="74"/>
        <v>0</v>
      </c>
      <c r="AG161" s="41">
        <f t="shared" si="77"/>
        <v>0</v>
      </c>
      <c r="AH161" s="41">
        <f t="shared" si="75"/>
        <v>0</v>
      </c>
    </row>
    <row r="162" spans="2:34" ht="15" customHeight="1" x14ac:dyDescent="0.3">
      <c r="B162" s="60" t="s">
        <v>217</v>
      </c>
      <c r="C162" s="48">
        <v>479.69</v>
      </c>
      <c r="D162" s="48">
        <v>0</v>
      </c>
      <c r="E162" s="48">
        <v>0</v>
      </c>
      <c r="F162" s="48">
        <v>368.17</v>
      </c>
      <c r="G162" s="48">
        <v>66.53</v>
      </c>
      <c r="H162" s="48">
        <v>0</v>
      </c>
      <c r="I162" s="48">
        <v>0</v>
      </c>
      <c r="J162" s="49">
        <v>0</v>
      </c>
      <c r="K162" s="48">
        <f t="shared" si="78"/>
        <v>28.781399999999998</v>
      </c>
      <c r="L162" s="48">
        <v>0</v>
      </c>
      <c r="M162" s="48">
        <f t="shared" si="79"/>
        <v>914.39</v>
      </c>
      <c r="N162" s="41">
        <f t="shared" si="58"/>
        <v>219.45359999999999</v>
      </c>
      <c r="O162" s="41">
        <f t="shared" si="59"/>
        <v>72.389211381300001</v>
      </c>
      <c r="P162" s="41">
        <f t="shared" si="60"/>
        <v>60.959336381299998</v>
      </c>
      <c r="Q162" s="41">
        <f t="shared" si="61"/>
        <v>72.389211381300001</v>
      </c>
      <c r="R162" s="41">
        <f t="shared" si="62"/>
        <v>0</v>
      </c>
      <c r="S162" s="41">
        <f t="shared" si="63"/>
        <v>48.005474999999997</v>
      </c>
      <c r="T162" s="41">
        <f t="shared" si="64"/>
        <v>36.575600000000001</v>
      </c>
      <c r="U162" s="41">
        <f t="shared" si="65"/>
        <v>18.287800000000001</v>
      </c>
      <c r="V162" s="41">
        <f t="shared" si="76"/>
        <v>18.287800000000001</v>
      </c>
      <c r="W162" s="41">
        <f t="shared" si="66"/>
        <v>36.575600000000001</v>
      </c>
      <c r="X162" s="41">
        <f t="shared" si="67"/>
        <v>0</v>
      </c>
      <c r="Y162" s="41">
        <f t="shared" si="67"/>
        <v>0</v>
      </c>
      <c r="Z162" s="41">
        <f t="shared" si="68"/>
        <v>11.429875000000001</v>
      </c>
      <c r="AA162" s="41">
        <f t="shared" si="69"/>
        <v>0</v>
      </c>
      <c r="AB162" s="41">
        <f t="shared" si="70"/>
        <v>45.719500000000004</v>
      </c>
      <c r="AC162" s="41">
        <f t="shared" si="71"/>
        <v>45.719500000000004</v>
      </c>
      <c r="AD162" s="41">
        <f t="shared" si="72"/>
        <v>45.719500000000004</v>
      </c>
      <c r="AE162" s="41">
        <f t="shared" si="73"/>
        <v>182.87800000000001</v>
      </c>
      <c r="AF162" s="41">
        <f t="shared" si="74"/>
        <v>0</v>
      </c>
      <c r="AG162" s="41">
        <f t="shared" si="77"/>
        <v>0</v>
      </c>
      <c r="AH162" s="41">
        <f t="shared" si="75"/>
        <v>0</v>
      </c>
    </row>
    <row r="163" spans="2:34" ht="15" customHeight="1" x14ac:dyDescent="0.3">
      <c r="B163" s="60" t="s">
        <v>218</v>
      </c>
      <c r="C163" s="48">
        <v>484.02</v>
      </c>
      <c r="D163" s="48">
        <v>0</v>
      </c>
      <c r="E163" s="48">
        <v>0</v>
      </c>
      <c r="F163" s="48">
        <v>359.67</v>
      </c>
      <c r="G163" s="48">
        <v>64.989999999999995</v>
      </c>
      <c r="H163" s="48">
        <v>0</v>
      </c>
      <c r="I163" s="48">
        <v>0</v>
      </c>
      <c r="J163" s="49">
        <v>0</v>
      </c>
      <c r="K163" s="48">
        <f t="shared" si="78"/>
        <v>29.041199999999996</v>
      </c>
      <c r="L163" s="48">
        <v>0</v>
      </c>
      <c r="M163" s="48">
        <f t="shared" si="79"/>
        <v>908.68000000000006</v>
      </c>
      <c r="N163" s="41">
        <f t="shared" si="58"/>
        <v>218.08320000000001</v>
      </c>
      <c r="O163" s="41">
        <f t="shared" si="59"/>
        <v>71.937169695600005</v>
      </c>
      <c r="P163" s="41">
        <f t="shared" si="60"/>
        <v>60.578669695599999</v>
      </c>
      <c r="Q163" s="41">
        <f t="shared" si="61"/>
        <v>71.937169695600005</v>
      </c>
      <c r="R163" s="41">
        <f t="shared" si="62"/>
        <v>0</v>
      </c>
      <c r="S163" s="41">
        <f t="shared" si="63"/>
        <v>47.7057</v>
      </c>
      <c r="T163" s="41">
        <f t="shared" si="64"/>
        <v>36.347200000000001</v>
      </c>
      <c r="U163" s="41">
        <f t="shared" si="65"/>
        <v>18.1736</v>
      </c>
      <c r="V163" s="41">
        <f t="shared" si="76"/>
        <v>18.1736</v>
      </c>
      <c r="W163" s="41">
        <f t="shared" si="66"/>
        <v>36.347200000000001</v>
      </c>
      <c r="X163" s="41">
        <f t="shared" si="67"/>
        <v>0</v>
      </c>
      <c r="Y163" s="41">
        <f t="shared" si="67"/>
        <v>0</v>
      </c>
      <c r="Z163" s="41">
        <f t="shared" si="68"/>
        <v>11.358500000000001</v>
      </c>
      <c r="AA163" s="41">
        <f t="shared" si="69"/>
        <v>0</v>
      </c>
      <c r="AB163" s="41">
        <f t="shared" si="70"/>
        <v>45.434000000000005</v>
      </c>
      <c r="AC163" s="41">
        <f t="shared" si="71"/>
        <v>45.434000000000005</v>
      </c>
      <c r="AD163" s="41">
        <f t="shared" si="72"/>
        <v>45.434000000000005</v>
      </c>
      <c r="AE163" s="41">
        <f t="shared" si="73"/>
        <v>181.73600000000002</v>
      </c>
      <c r="AF163" s="41">
        <f t="shared" si="74"/>
        <v>0</v>
      </c>
      <c r="AG163" s="41">
        <f t="shared" si="77"/>
        <v>0</v>
      </c>
      <c r="AH163" s="41">
        <f t="shared" si="75"/>
        <v>0</v>
      </c>
    </row>
    <row r="164" spans="2:34" ht="15" customHeight="1" x14ac:dyDescent="0.3">
      <c r="B164" s="60" t="s">
        <v>44</v>
      </c>
      <c r="C164" s="48">
        <v>452.44</v>
      </c>
      <c r="D164" s="48">
        <v>0</v>
      </c>
      <c r="E164" s="48">
        <v>0</v>
      </c>
      <c r="F164" s="48">
        <v>371.03</v>
      </c>
      <c r="G164" s="48">
        <v>64.25</v>
      </c>
      <c r="H164" s="48">
        <v>0</v>
      </c>
      <c r="I164" s="48">
        <v>0</v>
      </c>
      <c r="J164" s="49">
        <v>0</v>
      </c>
      <c r="K164" s="48">
        <f t="shared" si="78"/>
        <v>27.1464</v>
      </c>
      <c r="L164" s="48">
        <v>0</v>
      </c>
      <c r="M164" s="48">
        <f t="shared" si="79"/>
        <v>887.72</v>
      </c>
      <c r="N164" s="41">
        <f t="shared" si="58"/>
        <v>213.05279999999999</v>
      </c>
      <c r="O164" s="41">
        <f t="shared" si="59"/>
        <v>70.277836292399996</v>
      </c>
      <c r="P164" s="41">
        <f t="shared" si="60"/>
        <v>59.181336292399997</v>
      </c>
      <c r="Q164" s="41">
        <f t="shared" si="61"/>
        <v>70.277836292399996</v>
      </c>
      <c r="R164" s="41">
        <f t="shared" si="62"/>
        <v>0</v>
      </c>
      <c r="S164" s="41">
        <f t="shared" si="63"/>
        <v>46.6053</v>
      </c>
      <c r="T164" s="41">
        <f t="shared" si="64"/>
        <v>35.508800000000001</v>
      </c>
      <c r="U164" s="41">
        <f t="shared" si="65"/>
        <v>17.7544</v>
      </c>
      <c r="V164" s="41">
        <f t="shared" si="76"/>
        <v>17.7544</v>
      </c>
      <c r="W164" s="41">
        <f t="shared" si="66"/>
        <v>35.508800000000001</v>
      </c>
      <c r="X164" s="41">
        <f t="shared" si="67"/>
        <v>0</v>
      </c>
      <c r="Y164" s="41">
        <f t="shared" si="67"/>
        <v>0</v>
      </c>
      <c r="Z164" s="41">
        <f t="shared" si="68"/>
        <v>11.096500000000001</v>
      </c>
      <c r="AA164" s="41">
        <f t="shared" si="69"/>
        <v>0</v>
      </c>
      <c r="AB164" s="41">
        <f t="shared" si="70"/>
        <v>44.386000000000003</v>
      </c>
      <c r="AC164" s="41">
        <f t="shared" si="71"/>
        <v>44.386000000000003</v>
      </c>
      <c r="AD164" s="41">
        <f t="shared" si="72"/>
        <v>44.386000000000003</v>
      </c>
      <c r="AE164" s="41">
        <f t="shared" si="73"/>
        <v>177.54400000000001</v>
      </c>
      <c r="AF164" s="41">
        <f t="shared" si="74"/>
        <v>0</v>
      </c>
      <c r="AG164" s="41">
        <f t="shared" si="77"/>
        <v>0</v>
      </c>
      <c r="AH164" s="41">
        <f t="shared" si="75"/>
        <v>0</v>
      </c>
    </row>
    <row r="165" spans="2:34" ht="15" customHeight="1" x14ac:dyDescent="0.3">
      <c r="B165" s="60" t="s">
        <v>219</v>
      </c>
      <c r="C165" s="48">
        <v>542.96</v>
      </c>
      <c r="D165" s="48">
        <v>0</v>
      </c>
      <c r="E165" s="48">
        <v>0</v>
      </c>
      <c r="F165" s="48">
        <v>439.13</v>
      </c>
      <c r="G165" s="48">
        <v>75.7</v>
      </c>
      <c r="H165" s="48">
        <v>0</v>
      </c>
      <c r="I165" s="48">
        <v>0</v>
      </c>
      <c r="J165" s="49">
        <v>0</v>
      </c>
      <c r="K165" s="48">
        <f t="shared" si="78"/>
        <v>32.577600000000004</v>
      </c>
      <c r="L165" s="48">
        <v>0</v>
      </c>
      <c r="M165" s="48">
        <f t="shared" si="79"/>
        <v>1057.79</v>
      </c>
      <c r="N165" s="41">
        <f t="shared" si="58"/>
        <v>253.86959999999999</v>
      </c>
      <c r="O165" s="41">
        <f t="shared" si="59"/>
        <v>83.741711859299997</v>
      </c>
      <c r="P165" s="41">
        <f t="shared" si="60"/>
        <v>70.519336859299997</v>
      </c>
      <c r="Q165" s="41">
        <f t="shared" si="61"/>
        <v>83.741711859299997</v>
      </c>
      <c r="R165" s="41">
        <f t="shared" si="62"/>
        <v>0</v>
      </c>
      <c r="S165" s="41">
        <f t="shared" si="63"/>
        <v>55.533974999999998</v>
      </c>
      <c r="T165" s="41">
        <f t="shared" si="64"/>
        <v>42.311599999999999</v>
      </c>
      <c r="U165" s="41">
        <f t="shared" si="65"/>
        <v>21.155799999999999</v>
      </c>
      <c r="V165" s="41">
        <f t="shared" si="76"/>
        <v>21.155799999999999</v>
      </c>
      <c r="W165" s="41">
        <f t="shared" si="66"/>
        <v>42.311599999999999</v>
      </c>
      <c r="X165" s="41">
        <f t="shared" si="67"/>
        <v>0</v>
      </c>
      <c r="Y165" s="41">
        <f t="shared" si="67"/>
        <v>0</v>
      </c>
      <c r="Z165" s="41">
        <f t="shared" si="68"/>
        <v>13.222375</v>
      </c>
      <c r="AA165" s="41">
        <f t="shared" si="69"/>
        <v>0</v>
      </c>
      <c r="AB165" s="41">
        <f t="shared" si="70"/>
        <v>52.889499999999998</v>
      </c>
      <c r="AC165" s="41">
        <f t="shared" si="71"/>
        <v>52.889499999999998</v>
      </c>
      <c r="AD165" s="41">
        <f t="shared" si="72"/>
        <v>52.889499999999998</v>
      </c>
      <c r="AE165" s="41">
        <f t="shared" si="73"/>
        <v>211.55799999999999</v>
      </c>
      <c r="AF165" s="41">
        <f t="shared" si="74"/>
        <v>0</v>
      </c>
      <c r="AG165" s="41">
        <f t="shared" si="77"/>
        <v>0</v>
      </c>
      <c r="AH165" s="41">
        <f t="shared" si="75"/>
        <v>0</v>
      </c>
    </row>
    <row r="166" spans="2:34" ht="15" customHeight="1" x14ac:dyDescent="0.3">
      <c r="B166" s="60" t="s">
        <v>220</v>
      </c>
      <c r="C166" s="48">
        <v>0</v>
      </c>
      <c r="D166" s="48">
        <v>0</v>
      </c>
      <c r="E166" s="48">
        <v>0</v>
      </c>
      <c r="F166" s="48">
        <v>0</v>
      </c>
      <c r="G166" s="48">
        <v>0</v>
      </c>
      <c r="H166" s="48">
        <v>0</v>
      </c>
      <c r="I166" s="48">
        <v>0</v>
      </c>
      <c r="J166" s="49">
        <v>0</v>
      </c>
      <c r="K166" s="48">
        <f t="shared" si="78"/>
        <v>0</v>
      </c>
      <c r="L166" s="48">
        <v>0</v>
      </c>
      <c r="M166" s="48">
        <f t="shared" si="79"/>
        <v>0</v>
      </c>
      <c r="N166" s="41">
        <f t="shared" si="58"/>
        <v>0</v>
      </c>
      <c r="O166" s="41">
        <f t="shared" si="59"/>
        <v>0</v>
      </c>
      <c r="P166" s="41">
        <f t="shared" si="60"/>
        <v>0</v>
      </c>
      <c r="Q166" s="41">
        <f t="shared" si="61"/>
        <v>0</v>
      </c>
      <c r="R166" s="41">
        <f t="shared" si="62"/>
        <v>0</v>
      </c>
      <c r="S166" s="41">
        <f t="shared" si="63"/>
        <v>0</v>
      </c>
      <c r="T166" s="41">
        <f t="shared" si="64"/>
        <v>0</v>
      </c>
      <c r="U166" s="41">
        <f t="shared" si="65"/>
        <v>0</v>
      </c>
      <c r="V166" s="41">
        <f t="shared" si="76"/>
        <v>0</v>
      </c>
      <c r="W166" s="41">
        <f t="shared" si="66"/>
        <v>0</v>
      </c>
      <c r="X166" s="41">
        <f t="shared" si="67"/>
        <v>0</v>
      </c>
      <c r="Y166" s="41">
        <f t="shared" si="67"/>
        <v>0</v>
      </c>
      <c r="Z166" s="41">
        <f t="shared" si="68"/>
        <v>0</v>
      </c>
      <c r="AA166" s="41">
        <f t="shared" si="69"/>
        <v>0</v>
      </c>
      <c r="AB166" s="41">
        <f t="shared" si="70"/>
        <v>0</v>
      </c>
      <c r="AC166" s="41">
        <f t="shared" si="71"/>
        <v>0</v>
      </c>
      <c r="AD166" s="41">
        <f t="shared" si="72"/>
        <v>0</v>
      </c>
      <c r="AE166" s="41">
        <f t="shared" si="73"/>
        <v>0</v>
      </c>
      <c r="AF166" s="41">
        <f t="shared" si="74"/>
        <v>0</v>
      </c>
      <c r="AG166" s="41">
        <f t="shared" si="77"/>
        <v>0</v>
      </c>
      <c r="AH166" s="41">
        <f t="shared" si="75"/>
        <v>0</v>
      </c>
    </row>
    <row r="167" spans="2:34" ht="15" customHeight="1" x14ac:dyDescent="0.3">
      <c r="B167" s="60" t="s">
        <v>221</v>
      </c>
      <c r="C167" s="48">
        <v>0</v>
      </c>
      <c r="D167" s="48">
        <v>0</v>
      </c>
      <c r="E167" s="48">
        <v>0</v>
      </c>
      <c r="F167" s="48">
        <v>0</v>
      </c>
      <c r="G167" s="48">
        <v>0</v>
      </c>
      <c r="H167" s="48">
        <v>0</v>
      </c>
      <c r="I167" s="48">
        <v>0</v>
      </c>
      <c r="J167" s="49">
        <v>0</v>
      </c>
      <c r="K167" s="48">
        <f t="shared" si="78"/>
        <v>0</v>
      </c>
      <c r="L167" s="48">
        <v>0</v>
      </c>
      <c r="M167" s="48">
        <f t="shared" si="79"/>
        <v>0</v>
      </c>
      <c r="N167" s="41">
        <f t="shared" si="58"/>
        <v>0</v>
      </c>
      <c r="O167" s="41">
        <f t="shared" si="59"/>
        <v>0</v>
      </c>
      <c r="P167" s="41">
        <f t="shared" si="60"/>
        <v>0</v>
      </c>
      <c r="Q167" s="41">
        <f t="shared" si="61"/>
        <v>0</v>
      </c>
      <c r="R167" s="41">
        <f t="shared" si="62"/>
        <v>0</v>
      </c>
      <c r="S167" s="41">
        <f t="shared" si="63"/>
        <v>0</v>
      </c>
      <c r="T167" s="41">
        <f t="shared" si="64"/>
        <v>0</v>
      </c>
      <c r="U167" s="41">
        <f t="shared" si="65"/>
        <v>0</v>
      </c>
      <c r="V167" s="41">
        <f t="shared" si="76"/>
        <v>0</v>
      </c>
      <c r="W167" s="41">
        <f t="shared" si="66"/>
        <v>0</v>
      </c>
      <c r="X167" s="41">
        <f t="shared" si="67"/>
        <v>0</v>
      </c>
      <c r="Y167" s="41">
        <f t="shared" si="67"/>
        <v>0</v>
      </c>
      <c r="Z167" s="41">
        <f t="shared" si="68"/>
        <v>0</v>
      </c>
      <c r="AA167" s="41">
        <f t="shared" si="69"/>
        <v>0</v>
      </c>
      <c r="AB167" s="41">
        <f t="shared" si="70"/>
        <v>0</v>
      </c>
      <c r="AC167" s="41">
        <f t="shared" si="71"/>
        <v>0</v>
      </c>
      <c r="AD167" s="41">
        <f t="shared" si="72"/>
        <v>0</v>
      </c>
      <c r="AE167" s="41">
        <f t="shared" si="73"/>
        <v>0</v>
      </c>
      <c r="AF167" s="41">
        <f t="shared" si="74"/>
        <v>0</v>
      </c>
      <c r="AG167" s="41">
        <f t="shared" si="77"/>
        <v>0</v>
      </c>
      <c r="AH167" s="41">
        <f t="shared" si="75"/>
        <v>0</v>
      </c>
    </row>
    <row r="168" spans="2:34" ht="15" customHeight="1" x14ac:dyDescent="0.3">
      <c r="B168" s="60" t="s">
        <v>222</v>
      </c>
      <c r="C168" s="48">
        <v>480.72</v>
      </c>
      <c r="D168" s="48">
        <v>0</v>
      </c>
      <c r="E168" s="48">
        <v>0</v>
      </c>
      <c r="F168" s="48">
        <v>208.84</v>
      </c>
      <c r="G168" s="48">
        <v>39.909999999999997</v>
      </c>
      <c r="H168" s="48">
        <v>0</v>
      </c>
      <c r="I168" s="48">
        <v>0</v>
      </c>
      <c r="J168" s="49">
        <v>0</v>
      </c>
      <c r="K168" s="48">
        <f t="shared" si="78"/>
        <v>28.8432</v>
      </c>
      <c r="L168" s="48">
        <v>0</v>
      </c>
      <c r="M168" s="48">
        <f t="shared" si="79"/>
        <v>729.47</v>
      </c>
      <c r="N168" s="41">
        <f t="shared" si="58"/>
        <v>175.0728</v>
      </c>
      <c r="O168" s="41">
        <f t="shared" si="59"/>
        <v>57.749710764900001</v>
      </c>
      <c r="P168" s="41">
        <f t="shared" si="60"/>
        <v>48.631335764900001</v>
      </c>
      <c r="Q168" s="41">
        <f t="shared" si="61"/>
        <v>57.749710764900001</v>
      </c>
      <c r="R168" s="41">
        <f t="shared" si="62"/>
        <v>0</v>
      </c>
      <c r="S168" s="41">
        <f t="shared" si="63"/>
        <v>38.297175000000003</v>
      </c>
      <c r="T168" s="41">
        <f t="shared" si="64"/>
        <v>29.178800000000003</v>
      </c>
      <c r="U168" s="41">
        <f t="shared" si="65"/>
        <v>14.589400000000001</v>
      </c>
      <c r="V168" s="41">
        <f t="shared" si="76"/>
        <v>14.589400000000001</v>
      </c>
      <c r="W168" s="41">
        <f t="shared" si="66"/>
        <v>29.178800000000003</v>
      </c>
      <c r="X168" s="41">
        <f t="shared" si="67"/>
        <v>0</v>
      </c>
      <c r="Y168" s="41">
        <f t="shared" si="67"/>
        <v>0</v>
      </c>
      <c r="Z168" s="41">
        <f t="shared" si="68"/>
        <v>9.1183750000000003</v>
      </c>
      <c r="AA168" s="41">
        <f t="shared" si="69"/>
        <v>0</v>
      </c>
      <c r="AB168" s="41">
        <f t="shared" si="70"/>
        <v>36.473500000000001</v>
      </c>
      <c r="AC168" s="41">
        <f t="shared" si="71"/>
        <v>36.473500000000001</v>
      </c>
      <c r="AD168" s="41">
        <f t="shared" si="72"/>
        <v>36.473500000000001</v>
      </c>
      <c r="AE168" s="41">
        <f t="shared" si="73"/>
        <v>145.89400000000001</v>
      </c>
      <c r="AF168" s="41">
        <f t="shared" si="74"/>
        <v>0</v>
      </c>
      <c r="AG168" s="41">
        <f t="shared" si="77"/>
        <v>0</v>
      </c>
      <c r="AH168" s="41">
        <f t="shared" si="75"/>
        <v>0</v>
      </c>
    </row>
    <row r="169" spans="2:34" ht="15" customHeight="1" x14ac:dyDescent="0.3">
      <c r="B169" s="60" t="s">
        <v>223</v>
      </c>
      <c r="C169" s="48">
        <f>487.05-45.66</f>
        <v>441.39</v>
      </c>
      <c r="D169" s="48">
        <v>0</v>
      </c>
      <c r="E169" s="48">
        <v>0</v>
      </c>
      <c r="F169" s="48">
        <v>391.29</v>
      </c>
      <c r="G169" s="48">
        <v>74.77</v>
      </c>
      <c r="H169" s="48">
        <v>0</v>
      </c>
      <c r="I169" s="48">
        <v>0</v>
      </c>
      <c r="J169" s="49">
        <v>0</v>
      </c>
      <c r="K169" s="48">
        <f t="shared" si="78"/>
        <v>26.4834</v>
      </c>
      <c r="L169" s="48">
        <v>0</v>
      </c>
      <c r="M169" s="48">
        <f t="shared" si="79"/>
        <v>907.45</v>
      </c>
      <c r="N169" s="41">
        <f t="shared" si="58"/>
        <v>217.78800000000001</v>
      </c>
      <c r="O169" s="41">
        <f t="shared" si="59"/>
        <v>71.839794691500003</v>
      </c>
      <c r="P169" s="41">
        <f t="shared" si="60"/>
        <v>60.496669691500003</v>
      </c>
      <c r="Q169" s="41">
        <f t="shared" si="61"/>
        <v>71.839794691500003</v>
      </c>
      <c r="R169" s="41">
        <f t="shared" si="62"/>
        <v>0</v>
      </c>
      <c r="S169" s="41">
        <f t="shared" si="63"/>
        <v>47.641125000000002</v>
      </c>
      <c r="T169" s="41">
        <f t="shared" si="64"/>
        <v>36.298000000000002</v>
      </c>
      <c r="U169" s="41">
        <f t="shared" si="65"/>
        <v>18.149000000000001</v>
      </c>
      <c r="V169" s="41">
        <f t="shared" si="76"/>
        <v>18.149000000000001</v>
      </c>
      <c r="W169" s="41">
        <f t="shared" si="66"/>
        <v>36.298000000000002</v>
      </c>
      <c r="X169" s="41">
        <f t="shared" si="67"/>
        <v>0</v>
      </c>
      <c r="Y169" s="41">
        <f t="shared" si="67"/>
        <v>0</v>
      </c>
      <c r="Z169" s="41">
        <f t="shared" si="68"/>
        <v>11.343125000000001</v>
      </c>
      <c r="AA169" s="41">
        <f t="shared" si="69"/>
        <v>0</v>
      </c>
      <c r="AB169" s="41">
        <f t="shared" si="70"/>
        <v>45.372500000000002</v>
      </c>
      <c r="AC169" s="41">
        <f t="shared" si="71"/>
        <v>45.372500000000002</v>
      </c>
      <c r="AD169" s="41">
        <f t="shared" si="72"/>
        <v>45.372500000000002</v>
      </c>
      <c r="AE169" s="41">
        <f t="shared" si="73"/>
        <v>181.49</v>
      </c>
      <c r="AF169" s="41">
        <f t="shared" si="74"/>
        <v>0</v>
      </c>
      <c r="AG169" s="41">
        <f t="shared" si="77"/>
        <v>0</v>
      </c>
      <c r="AH169" s="41">
        <f t="shared" si="75"/>
        <v>0</v>
      </c>
    </row>
    <row r="170" spans="2:34" ht="15" customHeight="1" x14ac:dyDescent="0.3">
      <c r="B170" s="60" t="s">
        <v>45</v>
      </c>
      <c r="C170" s="48">
        <v>0</v>
      </c>
      <c r="D170" s="48">
        <v>0</v>
      </c>
      <c r="E170" s="48">
        <v>0</v>
      </c>
      <c r="F170" s="48">
        <v>0</v>
      </c>
      <c r="G170" s="48">
        <v>0</v>
      </c>
      <c r="H170" s="48">
        <v>0</v>
      </c>
      <c r="I170" s="48">
        <v>0</v>
      </c>
      <c r="J170" s="49">
        <v>0</v>
      </c>
      <c r="K170" s="48">
        <f t="shared" si="78"/>
        <v>0</v>
      </c>
      <c r="L170" s="48">
        <v>0</v>
      </c>
      <c r="M170" s="48">
        <f t="shared" si="79"/>
        <v>0</v>
      </c>
      <c r="N170" s="41">
        <f t="shared" si="58"/>
        <v>0</v>
      </c>
      <c r="O170" s="41">
        <f t="shared" si="59"/>
        <v>0</v>
      </c>
      <c r="P170" s="41">
        <f t="shared" si="60"/>
        <v>0</v>
      </c>
      <c r="Q170" s="41">
        <f t="shared" si="61"/>
        <v>0</v>
      </c>
      <c r="R170" s="41">
        <f t="shared" si="62"/>
        <v>0</v>
      </c>
      <c r="S170" s="41">
        <f t="shared" si="63"/>
        <v>0</v>
      </c>
      <c r="T170" s="41">
        <f t="shared" si="64"/>
        <v>0</v>
      </c>
      <c r="U170" s="41">
        <f t="shared" si="65"/>
        <v>0</v>
      </c>
      <c r="V170" s="41">
        <f t="shared" si="76"/>
        <v>0</v>
      </c>
      <c r="W170" s="41">
        <f t="shared" si="66"/>
        <v>0</v>
      </c>
      <c r="X170" s="41">
        <f t="shared" si="67"/>
        <v>0</v>
      </c>
      <c r="Y170" s="41">
        <f t="shared" si="67"/>
        <v>0</v>
      </c>
      <c r="Z170" s="41">
        <f t="shared" si="68"/>
        <v>0</v>
      </c>
      <c r="AA170" s="41">
        <f t="shared" si="69"/>
        <v>0</v>
      </c>
      <c r="AB170" s="41">
        <f t="shared" si="70"/>
        <v>0</v>
      </c>
      <c r="AC170" s="41">
        <f t="shared" si="71"/>
        <v>0</v>
      </c>
      <c r="AD170" s="41">
        <f t="shared" si="72"/>
        <v>0</v>
      </c>
      <c r="AE170" s="41">
        <f t="shared" si="73"/>
        <v>0</v>
      </c>
      <c r="AF170" s="41">
        <f t="shared" si="74"/>
        <v>0</v>
      </c>
      <c r="AG170" s="41">
        <f t="shared" si="77"/>
        <v>0</v>
      </c>
      <c r="AH170" s="41">
        <f t="shared" si="75"/>
        <v>0</v>
      </c>
    </row>
    <row r="171" spans="2:34" ht="15" customHeight="1" x14ac:dyDescent="0.3">
      <c r="B171" s="60" t="s">
        <v>224</v>
      </c>
      <c r="C171" s="48">
        <v>0</v>
      </c>
      <c r="D171" s="48">
        <v>0</v>
      </c>
      <c r="E171" s="48">
        <v>0</v>
      </c>
      <c r="F171" s="48">
        <v>0</v>
      </c>
      <c r="G171" s="48">
        <v>0</v>
      </c>
      <c r="H171" s="48">
        <v>0</v>
      </c>
      <c r="I171" s="48">
        <v>0</v>
      </c>
      <c r="J171" s="49">
        <v>0</v>
      </c>
      <c r="K171" s="48">
        <f t="shared" si="78"/>
        <v>0</v>
      </c>
      <c r="L171" s="48">
        <v>0</v>
      </c>
      <c r="M171" s="48">
        <f t="shared" si="79"/>
        <v>0</v>
      </c>
      <c r="N171" s="41">
        <f t="shared" si="58"/>
        <v>0</v>
      </c>
      <c r="O171" s="41">
        <f t="shared" si="59"/>
        <v>0</v>
      </c>
      <c r="P171" s="41">
        <f t="shared" si="60"/>
        <v>0</v>
      </c>
      <c r="Q171" s="41">
        <f t="shared" si="61"/>
        <v>0</v>
      </c>
      <c r="R171" s="41">
        <f t="shared" si="62"/>
        <v>0</v>
      </c>
      <c r="S171" s="41">
        <f t="shared" si="63"/>
        <v>0</v>
      </c>
      <c r="T171" s="41">
        <f t="shared" si="64"/>
        <v>0</v>
      </c>
      <c r="U171" s="41">
        <f t="shared" si="65"/>
        <v>0</v>
      </c>
      <c r="V171" s="41">
        <f t="shared" si="76"/>
        <v>0</v>
      </c>
      <c r="W171" s="41">
        <f t="shared" si="66"/>
        <v>0</v>
      </c>
      <c r="X171" s="41">
        <f t="shared" si="67"/>
        <v>0</v>
      </c>
      <c r="Y171" s="41">
        <f t="shared" si="67"/>
        <v>0</v>
      </c>
      <c r="Z171" s="41">
        <f t="shared" si="68"/>
        <v>0</v>
      </c>
      <c r="AA171" s="41">
        <f t="shared" si="69"/>
        <v>0</v>
      </c>
      <c r="AB171" s="41">
        <f t="shared" si="70"/>
        <v>0</v>
      </c>
      <c r="AC171" s="41">
        <f t="shared" si="71"/>
        <v>0</v>
      </c>
      <c r="AD171" s="41">
        <f t="shared" si="72"/>
        <v>0</v>
      </c>
      <c r="AE171" s="41">
        <f t="shared" si="73"/>
        <v>0</v>
      </c>
      <c r="AF171" s="41">
        <f t="shared" si="74"/>
        <v>0</v>
      </c>
      <c r="AG171" s="41">
        <f t="shared" si="77"/>
        <v>0</v>
      </c>
      <c r="AH171" s="41">
        <f t="shared" si="75"/>
        <v>0</v>
      </c>
    </row>
    <row r="172" spans="2:34" ht="15" customHeight="1" x14ac:dyDescent="0.3">
      <c r="B172" s="60" t="s">
        <v>225</v>
      </c>
      <c r="C172" s="48">
        <v>448.01</v>
      </c>
      <c r="D172" s="48">
        <v>0</v>
      </c>
      <c r="E172" s="48">
        <v>0</v>
      </c>
      <c r="F172" s="48">
        <v>246.89</v>
      </c>
      <c r="G172" s="48">
        <v>41.92</v>
      </c>
      <c r="H172" s="48">
        <v>0</v>
      </c>
      <c r="I172" s="48">
        <v>0</v>
      </c>
      <c r="J172" s="49">
        <v>0</v>
      </c>
      <c r="K172" s="48">
        <f t="shared" si="78"/>
        <v>26.880599999999998</v>
      </c>
      <c r="L172" s="48">
        <v>0</v>
      </c>
      <c r="M172" s="48">
        <f t="shared" si="79"/>
        <v>736.81999999999994</v>
      </c>
      <c r="N172" s="41">
        <f t="shared" si="58"/>
        <v>176.83679999999998</v>
      </c>
      <c r="O172" s="41">
        <f t="shared" si="59"/>
        <v>58.331585789399988</v>
      </c>
      <c r="P172" s="41">
        <f t="shared" si="60"/>
        <v>49.121335789399993</v>
      </c>
      <c r="Q172" s="41">
        <f t="shared" si="61"/>
        <v>58.331585789399988</v>
      </c>
      <c r="R172" s="41">
        <f t="shared" si="62"/>
        <v>0</v>
      </c>
      <c r="S172" s="41">
        <f t="shared" si="63"/>
        <v>38.683049999999994</v>
      </c>
      <c r="T172" s="41">
        <f t="shared" si="64"/>
        <v>29.472799999999999</v>
      </c>
      <c r="U172" s="41">
        <f t="shared" si="65"/>
        <v>14.7364</v>
      </c>
      <c r="V172" s="41">
        <f t="shared" si="76"/>
        <v>14.7364</v>
      </c>
      <c r="W172" s="41">
        <f t="shared" si="66"/>
        <v>29.472799999999999</v>
      </c>
      <c r="X172" s="41">
        <f t="shared" si="67"/>
        <v>0</v>
      </c>
      <c r="Y172" s="41">
        <f t="shared" si="67"/>
        <v>0</v>
      </c>
      <c r="Z172" s="41">
        <f t="shared" si="68"/>
        <v>9.2102500000000003</v>
      </c>
      <c r="AA172" s="41">
        <f t="shared" si="69"/>
        <v>0</v>
      </c>
      <c r="AB172" s="41">
        <f t="shared" si="70"/>
        <v>36.841000000000001</v>
      </c>
      <c r="AC172" s="41">
        <f t="shared" si="71"/>
        <v>36.841000000000001</v>
      </c>
      <c r="AD172" s="41">
        <f t="shared" si="72"/>
        <v>36.841000000000001</v>
      </c>
      <c r="AE172" s="41">
        <f t="shared" si="73"/>
        <v>147.364</v>
      </c>
      <c r="AF172" s="41">
        <f t="shared" si="74"/>
        <v>0</v>
      </c>
      <c r="AG172" s="41">
        <f t="shared" si="77"/>
        <v>0</v>
      </c>
      <c r="AH172" s="41">
        <f t="shared" si="75"/>
        <v>0</v>
      </c>
    </row>
    <row r="173" spans="2:34" ht="15" customHeight="1" x14ac:dyDescent="0.3">
      <c r="B173" s="60" t="s">
        <v>46</v>
      </c>
      <c r="C173" s="48">
        <f>364.48</f>
        <v>364.48</v>
      </c>
      <c r="D173" s="48">
        <v>0</v>
      </c>
      <c r="E173" s="48">
        <v>0</v>
      </c>
      <c r="F173" s="48">
        <v>706.88</v>
      </c>
      <c r="G173" s="48">
        <v>120.06</v>
      </c>
      <c r="H173" s="48">
        <v>0</v>
      </c>
      <c r="I173" s="48">
        <v>0</v>
      </c>
      <c r="J173" s="49">
        <v>0</v>
      </c>
      <c r="K173" s="48">
        <f t="shared" si="78"/>
        <v>21.8688</v>
      </c>
      <c r="L173" s="48">
        <v>0</v>
      </c>
      <c r="M173" s="48">
        <f t="shared" si="79"/>
        <v>1191.42</v>
      </c>
      <c r="N173" s="41">
        <f t="shared" si="58"/>
        <v>285.94080000000002</v>
      </c>
      <c r="O173" s="41">
        <f t="shared" si="59"/>
        <v>94.320753971399995</v>
      </c>
      <c r="P173" s="41">
        <f t="shared" si="60"/>
        <v>79.428003971400003</v>
      </c>
      <c r="Q173" s="41">
        <f t="shared" si="61"/>
        <v>94.320753971399995</v>
      </c>
      <c r="R173" s="41">
        <f t="shared" si="62"/>
        <v>0</v>
      </c>
      <c r="S173" s="41">
        <f t="shared" si="63"/>
        <v>62.549550000000004</v>
      </c>
      <c r="T173" s="41">
        <f t="shared" si="64"/>
        <v>47.656800000000004</v>
      </c>
      <c r="U173" s="41">
        <f t="shared" si="65"/>
        <v>23.828400000000002</v>
      </c>
      <c r="V173" s="41">
        <f t="shared" si="76"/>
        <v>23.828400000000002</v>
      </c>
      <c r="W173" s="41">
        <f t="shared" si="66"/>
        <v>47.656800000000004</v>
      </c>
      <c r="X173" s="41">
        <f t="shared" si="67"/>
        <v>0</v>
      </c>
      <c r="Y173" s="41">
        <f t="shared" si="67"/>
        <v>0</v>
      </c>
      <c r="Z173" s="41">
        <f t="shared" si="68"/>
        <v>14.892750000000001</v>
      </c>
      <c r="AA173" s="41">
        <f t="shared" si="69"/>
        <v>0</v>
      </c>
      <c r="AB173" s="41">
        <f t="shared" si="70"/>
        <v>59.571000000000005</v>
      </c>
      <c r="AC173" s="41">
        <f t="shared" si="71"/>
        <v>59.571000000000005</v>
      </c>
      <c r="AD173" s="41">
        <f t="shared" si="72"/>
        <v>59.571000000000005</v>
      </c>
      <c r="AE173" s="41">
        <f t="shared" si="73"/>
        <v>238.28400000000002</v>
      </c>
      <c r="AF173" s="41">
        <f t="shared" si="74"/>
        <v>0</v>
      </c>
      <c r="AG173" s="41">
        <f t="shared" si="77"/>
        <v>0</v>
      </c>
      <c r="AH173" s="41">
        <f t="shared" si="75"/>
        <v>0</v>
      </c>
    </row>
    <row r="174" spans="2:34" ht="15" customHeight="1" x14ac:dyDescent="0.3">
      <c r="B174" s="60" t="s">
        <v>226</v>
      </c>
      <c r="C174" s="48">
        <f>565.15-41.08</f>
        <v>524.06999999999994</v>
      </c>
      <c r="D174" s="48">
        <v>0</v>
      </c>
      <c r="E174" s="48">
        <v>0</v>
      </c>
      <c r="F174" s="48">
        <v>363.32</v>
      </c>
      <c r="G174" s="48">
        <v>65.599999999999994</v>
      </c>
      <c r="H174" s="48">
        <v>0</v>
      </c>
      <c r="I174" s="48">
        <v>0</v>
      </c>
      <c r="J174" s="49">
        <v>0</v>
      </c>
      <c r="K174" s="48">
        <f t="shared" si="78"/>
        <v>31.444199999999995</v>
      </c>
      <c r="L174" s="48">
        <v>0</v>
      </c>
      <c r="M174" s="48">
        <f t="shared" si="79"/>
        <v>952.9899999999999</v>
      </c>
      <c r="N174" s="41">
        <f t="shared" si="58"/>
        <v>228.71759999999998</v>
      </c>
      <c r="O174" s="41">
        <f t="shared" si="59"/>
        <v>75.445044843299982</v>
      </c>
      <c r="P174" s="41">
        <f t="shared" si="60"/>
        <v>63.532669843299992</v>
      </c>
      <c r="Q174" s="41">
        <f t="shared" si="61"/>
        <v>75.445044843299982</v>
      </c>
      <c r="R174" s="41">
        <f t="shared" si="62"/>
        <v>0</v>
      </c>
      <c r="S174" s="41">
        <f t="shared" si="63"/>
        <v>50.031974999999996</v>
      </c>
      <c r="T174" s="41">
        <f t="shared" si="64"/>
        <v>38.119599999999998</v>
      </c>
      <c r="U174" s="41">
        <f t="shared" si="65"/>
        <v>19.059799999999999</v>
      </c>
      <c r="V174" s="41">
        <f t="shared" si="76"/>
        <v>19.059799999999999</v>
      </c>
      <c r="W174" s="41">
        <f t="shared" si="66"/>
        <v>38.119599999999998</v>
      </c>
      <c r="X174" s="41">
        <f t="shared" si="67"/>
        <v>0</v>
      </c>
      <c r="Y174" s="41">
        <f t="shared" si="67"/>
        <v>0</v>
      </c>
      <c r="Z174" s="41">
        <f t="shared" si="68"/>
        <v>11.912374999999999</v>
      </c>
      <c r="AA174" s="41">
        <f t="shared" si="69"/>
        <v>0</v>
      </c>
      <c r="AB174" s="41">
        <f t="shared" si="70"/>
        <v>47.649499999999996</v>
      </c>
      <c r="AC174" s="41">
        <f t="shared" si="71"/>
        <v>47.649499999999996</v>
      </c>
      <c r="AD174" s="41">
        <f t="shared" si="72"/>
        <v>47.649499999999996</v>
      </c>
      <c r="AE174" s="41">
        <f t="shared" si="73"/>
        <v>190.59799999999998</v>
      </c>
      <c r="AF174" s="41">
        <f t="shared" si="74"/>
        <v>0</v>
      </c>
      <c r="AG174" s="41">
        <f t="shared" si="77"/>
        <v>0</v>
      </c>
      <c r="AH174" s="41">
        <f t="shared" si="75"/>
        <v>0</v>
      </c>
    </row>
    <row r="175" spans="2:34" ht="15" customHeight="1" x14ac:dyDescent="0.3">
      <c r="B175" s="60" t="s">
        <v>227</v>
      </c>
      <c r="C175" s="48">
        <v>572.59</v>
      </c>
      <c r="D175" s="48">
        <v>0</v>
      </c>
      <c r="E175" s="48">
        <v>0</v>
      </c>
      <c r="F175" s="48">
        <v>368.17</v>
      </c>
      <c r="G175" s="48">
        <v>66.53</v>
      </c>
      <c r="H175" s="48">
        <v>0</v>
      </c>
      <c r="I175" s="48">
        <v>0</v>
      </c>
      <c r="J175" s="49">
        <v>0</v>
      </c>
      <c r="K175" s="48">
        <f t="shared" si="78"/>
        <v>34.355400000000003</v>
      </c>
      <c r="L175" s="48">
        <v>0</v>
      </c>
      <c r="M175" s="48">
        <f t="shared" si="79"/>
        <v>1007.29</v>
      </c>
      <c r="N175" s="41">
        <f t="shared" si="58"/>
        <v>241.74959999999999</v>
      </c>
      <c r="O175" s="41">
        <f t="shared" si="59"/>
        <v>79.743795024299985</v>
      </c>
      <c r="P175" s="41">
        <f t="shared" si="60"/>
        <v>67.152670024299994</v>
      </c>
      <c r="Q175" s="41">
        <f t="shared" si="61"/>
        <v>79.743795024299985</v>
      </c>
      <c r="R175" s="41">
        <f t="shared" si="62"/>
        <v>0</v>
      </c>
      <c r="S175" s="41">
        <f t="shared" si="63"/>
        <v>52.882724999999994</v>
      </c>
      <c r="T175" s="41">
        <f t="shared" si="64"/>
        <v>40.291600000000003</v>
      </c>
      <c r="U175" s="41">
        <f t="shared" si="65"/>
        <v>20.145800000000001</v>
      </c>
      <c r="V175" s="41">
        <f t="shared" si="76"/>
        <v>20.145800000000001</v>
      </c>
      <c r="W175" s="41">
        <f t="shared" si="66"/>
        <v>40.291600000000003</v>
      </c>
      <c r="X175" s="41">
        <f t="shared" si="67"/>
        <v>0</v>
      </c>
      <c r="Y175" s="41">
        <f t="shared" si="67"/>
        <v>0</v>
      </c>
      <c r="Z175" s="41">
        <f t="shared" si="68"/>
        <v>12.591125</v>
      </c>
      <c r="AA175" s="41">
        <f t="shared" si="69"/>
        <v>0</v>
      </c>
      <c r="AB175" s="41">
        <f t="shared" si="70"/>
        <v>50.3645</v>
      </c>
      <c r="AC175" s="41">
        <f t="shared" si="71"/>
        <v>50.3645</v>
      </c>
      <c r="AD175" s="41">
        <f t="shared" si="72"/>
        <v>50.3645</v>
      </c>
      <c r="AE175" s="41">
        <f t="shared" si="73"/>
        <v>201.458</v>
      </c>
      <c r="AF175" s="41">
        <f t="shared" si="74"/>
        <v>0</v>
      </c>
      <c r="AG175" s="41">
        <f t="shared" si="77"/>
        <v>0</v>
      </c>
      <c r="AH175" s="41">
        <f t="shared" si="75"/>
        <v>0</v>
      </c>
    </row>
    <row r="176" spans="2:34" ht="15" customHeight="1" x14ac:dyDescent="0.3">
      <c r="B176" s="60" t="s">
        <v>228</v>
      </c>
      <c r="C176" s="48">
        <v>461.15</v>
      </c>
      <c r="D176" s="48">
        <v>0</v>
      </c>
      <c r="E176" s="48">
        <v>0</v>
      </c>
      <c r="F176" s="48">
        <v>359.67</v>
      </c>
      <c r="G176" s="48">
        <v>64.989999999999995</v>
      </c>
      <c r="H176" s="48">
        <v>0</v>
      </c>
      <c r="I176" s="48">
        <v>0</v>
      </c>
      <c r="J176" s="49">
        <v>0</v>
      </c>
      <c r="K176" s="48">
        <f t="shared" si="78"/>
        <v>27.668999999999997</v>
      </c>
      <c r="L176" s="48">
        <v>0</v>
      </c>
      <c r="M176" s="48">
        <f t="shared" si="79"/>
        <v>885.81</v>
      </c>
      <c r="N176" s="41">
        <f t="shared" si="58"/>
        <v>212.59439999999998</v>
      </c>
      <c r="O176" s="41">
        <f t="shared" si="59"/>
        <v>70.126627952699991</v>
      </c>
      <c r="P176" s="41">
        <f t="shared" si="60"/>
        <v>59.054002952699996</v>
      </c>
      <c r="Q176" s="41">
        <f t="shared" si="61"/>
        <v>70.126627952699991</v>
      </c>
      <c r="R176" s="41">
        <f t="shared" si="62"/>
        <v>0</v>
      </c>
      <c r="S176" s="41">
        <f t="shared" si="63"/>
        <v>46.505024999999996</v>
      </c>
      <c r="T176" s="41">
        <f t="shared" si="64"/>
        <v>35.432400000000001</v>
      </c>
      <c r="U176" s="41">
        <f t="shared" si="65"/>
        <v>17.716200000000001</v>
      </c>
      <c r="V176" s="41">
        <f t="shared" si="76"/>
        <v>17.716200000000001</v>
      </c>
      <c r="W176" s="41">
        <f t="shared" si="66"/>
        <v>35.432400000000001</v>
      </c>
      <c r="X176" s="41">
        <f t="shared" si="67"/>
        <v>0</v>
      </c>
      <c r="Y176" s="41">
        <f t="shared" si="67"/>
        <v>0</v>
      </c>
      <c r="Z176" s="41">
        <f t="shared" si="68"/>
        <v>11.072625</v>
      </c>
      <c r="AA176" s="41">
        <f t="shared" si="69"/>
        <v>0</v>
      </c>
      <c r="AB176" s="41">
        <f t="shared" si="70"/>
        <v>44.290500000000002</v>
      </c>
      <c r="AC176" s="41">
        <f t="shared" si="71"/>
        <v>44.290500000000002</v>
      </c>
      <c r="AD176" s="41">
        <f t="shared" si="72"/>
        <v>44.290500000000002</v>
      </c>
      <c r="AE176" s="41">
        <f t="shared" si="73"/>
        <v>177.16200000000001</v>
      </c>
      <c r="AF176" s="41">
        <f t="shared" si="74"/>
        <v>0</v>
      </c>
      <c r="AG176" s="41">
        <f t="shared" si="77"/>
        <v>0</v>
      </c>
      <c r="AH176" s="41">
        <f t="shared" si="75"/>
        <v>0</v>
      </c>
    </row>
    <row r="177" spans="2:34" ht="15" customHeight="1" x14ac:dyDescent="0.3">
      <c r="B177" s="60" t="s">
        <v>229</v>
      </c>
      <c r="C177" s="48">
        <v>718.22</v>
      </c>
      <c r="D177" s="48">
        <v>85.67</v>
      </c>
      <c r="E177" s="48">
        <v>0</v>
      </c>
      <c r="F177" s="48">
        <v>371.03</v>
      </c>
      <c r="G177" s="48">
        <v>64.25</v>
      </c>
      <c r="H177" s="48">
        <v>0</v>
      </c>
      <c r="I177" s="48">
        <v>0</v>
      </c>
      <c r="J177" s="49">
        <v>0</v>
      </c>
      <c r="K177" s="48">
        <f t="shared" si="78"/>
        <v>48.233399999999996</v>
      </c>
      <c r="L177" s="48">
        <v>0</v>
      </c>
      <c r="M177" s="48">
        <f t="shared" si="79"/>
        <v>1239.17</v>
      </c>
      <c r="N177" s="41">
        <f t="shared" si="58"/>
        <v>297.4008</v>
      </c>
      <c r="O177" s="41">
        <f t="shared" si="59"/>
        <v>98.100962463900004</v>
      </c>
      <c r="P177" s="41">
        <f t="shared" si="60"/>
        <v>82.6113374639</v>
      </c>
      <c r="Q177" s="41">
        <f t="shared" si="61"/>
        <v>98.100962463900004</v>
      </c>
      <c r="R177" s="41">
        <f t="shared" si="62"/>
        <v>0</v>
      </c>
      <c r="S177" s="41">
        <f t="shared" si="63"/>
        <v>65.056425000000004</v>
      </c>
      <c r="T177" s="41">
        <f t="shared" si="64"/>
        <v>49.566800000000001</v>
      </c>
      <c r="U177" s="41">
        <f t="shared" si="65"/>
        <v>24.7834</v>
      </c>
      <c r="V177" s="41">
        <f t="shared" si="76"/>
        <v>24.7834</v>
      </c>
      <c r="W177" s="41">
        <f t="shared" si="66"/>
        <v>49.566800000000001</v>
      </c>
      <c r="X177" s="41">
        <f t="shared" si="67"/>
        <v>0</v>
      </c>
      <c r="Y177" s="41">
        <f t="shared" si="67"/>
        <v>0</v>
      </c>
      <c r="Z177" s="41">
        <f t="shared" si="68"/>
        <v>15.489625000000002</v>
      </c>
      <c r="AA177" s="41">
        <f t="shared" si="69"/>
        <v>0</v>
      </c>
      <c r="AB177" s="41">
        <f t="shared" si="70"/>
        <v>61.958500000000008</v>
      </c>
      <c r="AC177" s="41">
        <f t="shared" si="71"/>
        <v>61.958500000000008</v>
      </c>
      <c r="AD177" s="41">
        <f t="shared" si="72"/>
        <v>61.958500000000008</v>
      </c>
      <c r="AE177" s="41">
        <f t="shared" si="73"/>
        <v>247.83400000000003</v>
      </c>
      <c r="AF177" s="41">
        <f t="shared" si="74"/>
        <v>0</v>
      </c>
      <c r="AG177" s="41">
        <f t="shared" si="77"/>
        <v>0</v>
      </c>
      <c r="AH177" s="41">
        <f t="shared" si="75"/>
        <v>0</v>
      </c>
    </row>
    <row r="178" spans="2:34" ht="15" customHeight="1" x14ac:dyDescent="0.3">
      <c r="B178" s="60" t="s">
        <v>229</v>
      </c>
      <c r="C178" s="48">
        <v>718.22</v>
      </c>
      <c r="D178" s="48">
        <v>85.67</v>
      </c>
      <c r="E178" s="48">
        <v>0</v>
      </c>
      <c r="F178" s="48">
        <v>371.03</v>
      </c>
      <c r="G178" s="48">
        <v>64.25</v>
      </c>
      <c r="H178" s="48">
        <v>0</v>
      </c>
      <c r="I178" s="48">
        <v>0</v>
      </c>
      <c r="J178" s="49">
        <v>0</v>
      </c>
      <c r="K178" s="48">
        <f t="shared" si="78"/>
        <v>48.233399999999996</v>
      </c>
      <c r="L178" s="48">
        <v>0</v>
      </c>
      <c r="M178" s="48">
        <f t="shared" si="79"/>
        <v>1239.17</v>
      </c>
      <c r="N178" s="41">
        <f t="shared" si="58"/>
        <v>297.4008</v>
      </c>
      <c r="O178" s="41">
        <f t="shared" si="59"/>
        <v>98.100962463900004</v>
      </c>
      <c r="P178" s="41">
        <f t="shared" si="60"/>
        <v>82.6113374639</v>
      </c>
      <c r="Q178" s="41">
        <f t="shared" si="61"/>
        <v>98.100962463900004</v>
      </c>
      <c r="R178" s="41">
        <f t="shared" si="62"/>
        <v>0</v>
      </c>
      <c r="S178" s="41">
        <f t="shared" si="63"/>
        <v>65.056425000000004</v>
      </c>
      <c r="T178" s="41">
        <f t="shared" si="64"/>
        <v>49.566800000000001</v>
      </c>
      <c r="U178" s="41">
        <f t="shared" si="65"/>
        <v>24.7834</v>
      </c>
      <c r="V178" s="41">
        <f t="shared" si="76"/>
        <v>24.7834</v>
      </c>
      <c r="W178" s="41">
        <f t="shared" si="66"/>
        <v>49.566800000000001</v>
      </c>
      <c r="X178" s="41">
        <f t="shared" si="67"/>
        <v>0</v>
      </c>
      <c r="Y178" s="41">
        <f t="shared" si="67"/>
        <v>0</v>
      </c>
      <c r="Z178" s="41">
        <f t="shared" si="68"/>
        <v>15.489625000000002</v>
      </c>
      <c r="AA178" s="41">
        <f t="shared" si="69"/>
        <v>0</v>
      </c>
      <c r="AB178" s="41">
        <f t="shared" si="70"/>
        <v>61.958500000000008</v>
      </c>
      <c r="AC178" s="41">
        <f t="shared" si="71"/>
        <v>61.958500000000008</v>
      </c>
      <c r="AD178" s="41">
        <f t="shared" si="72"/>
        <v>61.958500000000008</v>
      </c>
      <c r="AE178" s="41">
        <f t="shared" si="73"/>
        <v>247.83400000000003</v>
      </c>
      <c r="AF178" s="41">
        <f t="shared" si="74"/>
        <v>0</v>
      </c>
      <c r="AG178" s="41">
        <f t="shared" si="77"/>
        <v>0</v>
      </c>
      <c r="AH178" s="41">
        <f t="shared" si="75"/>
        <v>0</v>
      </c>
    </row>
    <row r="179" spans="2:34" ht="15" customHeight="1" x14ac:dyDescent="0.3">
      <c r="B179" s="60" t="s">
        <v>230</v>
      </c>
      <c r="C179" s="48">
        <f>547.2-99.17</f>
        <v>448.03000000000003</v>
      </c>
      <c r="D179" s="48">
        <v>0</v>
      </c>
      <c r="E179" s="48">
        <v>0</v>
      </c>
      <c r="F179" s="48">
        <v>440.12</v>
      </c>
      <c r="G179" s="48">
        <v>75.7</v>
      </c>
      <c r="H179" s="48">
        <v>0</v>
      </c>
      <c r="I179" s="48">
        <v>0</v>
      </c>
      <c r="J179" s="49">
        <v>0</v>
      </c>
      <c r="K179" s="48">
        <f t="shared" si="78"/>
        <v>26.881800000000002</v>
      </c>
      <c r="L179" s="48">
        <v>0</v>
      </c>
      <c r="M179" s="48">
        <f t="shared" si="79"/>
        <v>963.85000000000014</v>
      </c>
      <c r="N179" s="41">
        <f t="shared" si="58"/>
        <v>231.32400000000001</v>
      </c>
      <c r="O179" s="41">
        <f t="shared" si="59"/>
        <v>76.304794879500008</v>
      </c>
      <c r="P179" s="41">
        <f t="shared" si="60"/>
        <v>64.256669879500009</v>
      </c>
      <c r="Q179" s="41">
        <f t="shared" si="61"/>
        <v>76.304794879500008</v>
      </c>
      <c r="R179" s="41">
        <f t="shared" si="62"/>
        <v>0</v>
      </c>
      <c r="S179" s="41">
        <f t="shared" si="63"/>
        <v>50.602125000000008</v>
      </c>
      <c r="T179" s="41">
        <f t="shared" si="64"/>
        <v>38.554000000000009</v>
      </c>
      <c r="U179" s="41">
        <f t="shared" si="65"/>
        <v>19.277000000000005</v>
      </c>
      <c r="V179" s="41">
        <f t="shared" si="76"/>
        <v>19.277000000000005</v>
      </c>
      <c r="W179" s="41">
        <f t="shared" si="66"/>
        <v>38.554000000000009</v>
      </c>
      <c r="X179" s="41">
        <f t="shared" si="67"/>
        <v>0</v>
      </c>
      <c r="Y179" s="41">
        <f t="shared" si="67"/>
        <v>0</v>
      </c>
      <c r="Z179" s="41">
        <f t="shared" si="68"/>
        <v>12.048125000000002</v>
      </c>
      <c r="AA179" s="41">
        <f t="shared" si="69"/>
        <v>0</v>
      </c>
      <c r="AB179" s="41">
        <f t="shared" si="70"/>
        <v>48.19250000000001</v>
      </c>
      <c r="AC179" s="41">
        <f t="shared" si="71"/>
        <v>48.19250000000001</v>
      </c>
      <c r="AD179" s="41">
        <f t="shared" si="72"/>
        <v>48.19250000000001</v>
      </c>
      <c r="AE179" s="41">
        <f t="shared" si="73"/>
        <v>192.77000000000004</v>
      </c>
      <c r="AF179" s="41">
        <f t="shared" si="74"/>
        <v>0</v>
      </c>
      <c r="AG179" s="41">
        <f t="shared" si="77"/>
        <v>0</v>
      </c>
      <c r="AH179" s="41">
        <f t="shared" si="75"/>
        <v>0</v>
      </c>
    </row>
    <row r="180" spans="2:34" ht="15" customHeight="1" x14ac:dyDescent="0.3">
      <c r="B180" s="60" t="s">
        <v>231</v>
      </c>
      <c r="C180" s="48">
        <v>0</v>
      </c>
      <c r="D180" s="48">
        <v>0</v>
      </c>
      <c r="E180" s="48">
        <v>0</v>
      </c>
      <c r="F180" s="48">
        <v>0</v>
      </c>
      <c r="G180" s="48">
        <v>0</v>
      </c>
      <c r="H180" s="48">
        <v>0</v>
      </c>
      <c r="I180" s="48">
        <v>0</v>
      </c>
      <c r="J180" s="49">
        <v>0</v>
      </c>
      <c r="K180" s="48">
        <f t="shared" si="78"/>
        <v>0</v>
      </c>
      <c r="L180" s="48">
        <v>0</v>
      </c>
      <c r="M180" s="48">
        <f t="shared" si="79"/>
        <v>0</v>
      </c>
      <c r="N180" s="41">
        <f t="shared" si="58"/>
        <v>0</v>
      </c>
      <c r="O180" s="41">
        <f t="shared" si="59"/>
        <v>0</v>
      </c>
      <c r="P180" s="41">
        <f t="shared" si="60"/>
        <v>0</v>
      </c>
      <c r="Q180" s="41">
        <f t="shared" si="61"/>
        <v>0</v>
      </c>
      <c r="R180" s="41">
        <f t="shared" si="62"/>
        <v>0</v>
      </c>
      <c r="S180" s="41">
        <f t="shared" si="63"/>
        <v>0</v>
      </c>
      <c r="T180" s="41">
        <f t="shared" si="64"/>
        <v>0</v>
      </c>
      <c r="U180" s="41">
        <f t="shared" si="65"/>
        <v>0</v>
      </c>
      <c r="V180" s="41">
        <f t="shared" si="76"/>
        <v>0</v>
      </c>
      <c r="W180" s="41">
        <f t="shared" si="66"/>
        <v>0</v>
      </c>
      <c r="X180" s="41">
        <f t="shared" si="67"/>
        <v>0</v>
      </c>
      <c r="Y180" s="41">
        <f t="shared" si="67"/>
        <v>0</v>
      </c>
      <c r="Z180" s="41">
        <f t="shared" si="68"/>
        <v>0</v>
      </c>
      <c r="AA180" s="41">
        <f t="shared" si="69"/>
        <v>0</v>
      </c>
      <c r="AB180" s="41">
        <f t="shared" si="70"/>
        <v>0</v>
      </c>
      <c r="AC180" s="41">
        <f t="shared" si="71"/>
        <v>0</v>
      </c>
      <c r="AD180" s="41">
        <f t="shared" si="72"/>
        <v>0</v>
      </c>
      <c r="AE180" s="41">
        <f t="shared" si="73"/>
        <v>0</v>
      </c>
      <c r="AF180" s="41">
        <f t="shared" si="74"/>
        <v>0</v>
      </c>
      <c r="AG180" s="41">
        <f t="shared" si="77"/>
        <v>0</v>
      </c>
      <c r="AH180" s="41">
        <f t="shared" si="75"/>
        <v>0</v>
      </c>
    </row>
    <row r="181" spans="2:34" ht="15" customHeight="1" x14ac:dyDescent="0.3">
      <c r="B181" s="60" t="s">
        <v>232</v>
      </c>
      <c r="C181" s="48">
        <v>0</v>
      </c>
      <c r="D181" s="48">
        <v>0</v>
      </c>
      <c r="E181" s="48">
        <v>0</v>
      </c>
      <c r="F181" s="48">
        <v>0</v>
      </c>
      <c r="G181" s="48">
        <v>0</v>
      </c>
      <c r="H181" s="48">
        <v>0</v>
      </c>
      <c r="I181" s="48">
        <v>0</v>
      </c>
      <c r="J181" s="49">
        <v>0</v>
      </c>
      <c r="K181" s="48">
        <f t="shared" si="78"/>
        <v>0</v>
      </c>
      <c r="L181" s="48">
        <v>0</v>
      </c>
      <c r="M181" s="48">
        <f t="shared" si="79"/>
        <v>0</v>
      </c>
      <c r="N181" s="41">
        <f t="shared" si="58"/>
        <v>0</v>
      </c>
      <c r="O181" s="41">
        <f t="shared" si="59"/>
        <v>0</v>
      </c>
      <c r="P181" s="41">
        <f t="shared" si="60"/>
        <v>0</v>
      </c>
      <c r="Q181" s="41">
        <f t="shared" si="61"/>
        <v>0</v>
      </c>
      <c r="R181" s="41">
        <f t="shared" si="62"/>
        <v>0</v>
      </c>
      <c r="S181" s="41">
        <f t="shared" si="63"/>
        <v>0</v>
      </c>
      <c r="T181" s="41">
        <f t="shared" si="64"/>
        <v>0</v>
      </c>
      <c r="U181" s="41">
        <f t="shared" si="65"/>
        <v>0</v>
      </c>
      <c r="V181" s="41">
        <f t="shared" si="76"/>
        <v>0</v>
      </c>
      <c r="W181" s="41">
        <f t="shared" si="66"/>
        <v>0</v>
      </c>
      <c r="X181" s="41">
        <f t="shared" si="67"/>
        <v>0</v>
      </c>
      <c r="Y181" s="41">
        <f t="shared" si="67"/>
        <v>0</v>
      </c>
      <c r="Z181" s="41">
        <f t="shared" si="68"/>
        <v>0</v>
      </c>
      <c r="AA181" s="41">
        <f t="shared" si="69"/>
        <v>0</v>
      </c>
      <c r="AB181" s="41">
        <f t="shared" si="70"/>
        <v>0</v>
      </c>
      <c r="AC181" s="41">
        <f t="shared" si="71"/>
        <v>0</v>
      </c>
      <c r="AD181" s="41">
        <f t="shared" si="72"/>
        <v>0</v>
      </c>
      <c r="AE181" s="41">
        <f t="shared" si="73"/>
        <v>0</v>
      </c>
      <c r="AF181" s="41">
        <f t="shared" si="74"/>
        <v>0</v>
      </c>
      <c r="AG181" s="41">
        <f t="shared" si="77"/>
        <v>0</v>
      </c>
      <c r="AH181" s="41">
        <f t="shared" si="75"/>
        <v>0</v>
      </c>
    </row>
    <row r="182" spans="2:34" ht="15" customHeight="1" x14ac:dyDescent="0.3">
      <c r="B182" s="60" t="s">
        <v>47</v>
      </c>
      <c r="C182" s="48">
        <v>0</v>
      </c>
      <c r="D182" s="48">
        <v>0</v>
      </c>
      <c r="E182" s="48">
        <v>0</v>
      </c>
      <c r="F182" s="48">
        <v>0</v>
      </c>
      <c r="G182" s="48">
        <v>0</v>
      </c>
      <c r="H182" s="48">
        <v>0</v>
      </c>
      <c r="I182" s="48">
        <v>0</v>
      </c>
      <c r="J182" s="49">
        <v>0</v>
      </c>
      <c r="K182" s="48">
        <f t="shared" si="78"/>
        <v>0</v>
      </c>
      <c r="L182" s="48">
        <v>0</v>
      </c>
      <c r="M182" s="48">
        <f t="shared" si="79"/>
        <v>0</v>
      </c>
      <c r="N182" s="41">
        <f t="shared" si="58"/>
        <v>0</v>
      </c>
      <c r="O182" s="41">
        <f t="shared" si="59"/>
        <v>0</v>
      </c>
      <c r="P182" s="41">
        <f t="shared" si="60"/>
        <v>0</v>
      </c>
      <c r="Q182" s="41">
        <f t="shared" si="61"/>
        <v>0</v>
      </c>
      <c r="R182" s="41">
        <f t="shared" si="62"/>
        <v>0</v>
      </c>
      <c r="S182" s="41">
        <f t="shared" si="63"/>
        <v>0</v>
      </c>
      <c r="T182" s="41">
        <f t="shared" si="64"/>
        <v>0</v>
      </c>
      <c r="U182" s="41">
        <f t="shared" si="65"/>
        <v>0</v>
      </c>
      <c r="V182" s="41">
        <f t="shared" si="76"/>
        <v>0</v>
      </c>
      <c r="W182" s="41">
        <f t="shared" si="66"/>
        <v>0</v>
      </c>
      <c r="X182" s="41">
        <f t="shared" si="67"/>
        <v>0</v>
      </c>
      <c r="Y182" s="41">
        <f t="shared" si="67"/>
        <v>0</v>
      </c>
      <c r="Z182" s="41">
        <f t="shared" si="68"/>
        <v>0</v>
      </c>
      <c r="AA182" s="41">
        <f t="shared" si="69"/>
        <v>0</v>
      </c>
      <c r="AB182" s="41">
        <f t="shared" si="70"/>
        <v>0</v>
      </c>
      <c r="AC182" s="41">
        <f t="shared" si="71"/>
        <v>0</v>
      </c>
      <c r="AD182" s="41">
        <f t="shared" si="72"/>
        <v>0</v>
      </c>
      <c r="AE182" s="41">
        <f t="shared" si="73"/>
        <v>0</v>
      </c>
      <c r="AF182" s="41">
        <f t="shared" si="74"/>
        <v>0</v>
      </c>
      <c r="AG182" s="41">
        <f t="shared" si="77"/>
        <v>0</v>
      </c>
      <c r="AH182" s="41">
        <f t="shared" si="75"/>
        <v>0</v>
      </c>
    </row>
    <row r="183" spans="2:34" ht="15" customHeight="1" x14ac:dyDescent="0.3">
      <c r="B183" s="60" t="s">
        <v>233</v>
      </c>
      <c r="C183" s="48">
        <f>492.51</f>
        <v>492.51</v>
      </c>
      <c r="D183" s="48">
        <v>0</v>
      </c>
      <c r="E183" s="48">
        <v>0</v>
      </c>
      <c r="F183" s="48">
        <v>391.29</v>
      </c>
      <c r="G183" s="48">
        <v>75.98</v>
      </c>
      <c r="H183" s="48">
        <v>0</v>
      </c>
      <c r="I183" s="48">
        <v>0</v>
      </c>
      <c r="J183" s="49">
        <v>0</v>
      </c>
      <c r="K183" s="48">
        <f t="shared" si="78"/>
        <v>29.550599999999999</v>
      </c>
      <c r="L183" s="48">
        <v>0</v>
      </c>
      <c r="M183" s="48">
        <f t="shared" si="79"/>
        <v>959.78</v>
      </c>
      <c r="N183" s="41">
        <f t="shared" si="58"/>
        <v>230.34719999999999</v>
      </c>
      <c r="O183" s="41">
        <f t="shared" si="59"/>
        <v>75.982586532599996</v>
      </c>
      <c r="P183" s="41">
        <f t="shared" si="60"/>
        <v>63.985336532599995</v>
      </c>
      <c r="Q183" s="41">
        <f t="shared" si="61"/>
        <v>75.982586532599996</v>
      </c>
      <c r="R183" s="41">
        <f t="shared" si="62"/>
        <v>0</v>
      </c>
      <c r="S183" s="41">
        <f t="shared" si="63"/>
        <v>50.388449999999999</v>
      </c>
      <c r="T183" s="41">
        <f t="shared" si="64"/>
        <v>38.391199999999998</v>
      </c>
      <c r="U183" s="41">
        <f t="shared" si="65"/>
        <v>19.195599999999999</v>
      </c>
      <c r="V183" s="41">
        <f t="shared" si="76"/>
        <v>19.195599999999999</v>
      </c>
      <c r="W183" s="41">
        <f t="shared" si="66"/>
        <v>38.391199999999998</v>
      </c>
      <c r="X183" s="41">
        <f t="shared" si="67"/>
        <v>0</v>
      </c>
      <c r="Y183" s="41">
        <f t="shared" si="67"/>
        <v>0</v>
      </c>
      <c r="Z183" s="41">
        <f t="shared" si="68"/>
        <v>11.997250000000001</v>
      </c>
      <c r="AA183" s="41">
        <f t="shared" si="69"/>
        <v>0</v>
      </c>
      <c r="AB183" s="41">
        <f t="shared" si="70"/>
        <v>47.989000000000004</v>
      </c>
      <c r="AC183" s="41">
        <f t="shared" si="71"/>
        <v>47.989000000000004</v>
      </c>
      <c r="AD183" s="41">
        <f t="shared" si="72"/>
        <v>47.989000000000004</v>
      </c>
      <c r="AE183" s="41">
        <f t="shared" si="73"/>
        <v>191.95600000000002</v>
      </c>
      <c r="AF183" s="41">
        <f t="shared" si="74"/>
        <v>0</v>
      </c>
      <c r="AG183" s="41">
        <f t="shared" si="77"/>
        <v>0</v>
      </c>
      <c r="AH183" s="41">
        <f t="shared" si="75"/>
        <v>0</v>
      </c>
    </row>
    <row r="184" spans="2:34" ht="15" customHeight="1" x14ac:dyDescent="0.3">
      <c r="B184" s="60" t="s">
        <v>234</v>
      </c>
      <c r="C184" s="48">
        <f>461.73-94.01</f>
        <v>367.72</v>
      </c>
      <c r="D184" s="48">
        <f>41.97+12.55</f>
        <v>54.519999999999996</v>
      </c>
      <c r="E184" s="48">
        <v>0</v>
      </c>
      <c r="F184" s="48">
        <v>260.04000000000002</v>
      </c>
      <c r="G184" s="48">
        <v>0</v>
      </c>
      <c r="H184" s="48">
        <v>0</v>
      </c>
      <c r="I184" s="48">
        <v>0</v>
      </c>
      <c r="J184" s="49">
        <v>0</v>
      </c>
      <c r="K184" s="48">
        <f t="shared" si="78"/>
        <v>25.334399999999999</v>
      </c>
      <c r="L184" s="48">
        <v>0</v>
      </c>
      <c r="M184" s="48">
        <f t="shared" si="79"/>
        <v>682.28</v>
      </c>
      <c r="N184" s="41">
        <f t="shared" si="58"/>
        <v>163.74719999999999</v>
      </c>
      <c r="O184" s="41">
        <f t="shared" si="59"/>
        <v>54.013835607599994</v>
      </c>
      <c r="P184" s="41">
        <f t="shared" si="60"/>
        <v>45.4853356076</v>
      </c>
      <c r="Q184" s="41">
        <f t="shared" si="61"/>
        <v>54.013835607599994</v>
      </c>
      <c r="R184" s="41">
        <f t="shared" si="62"/>
        <v>0</v>
      </c>
      <c r="S184" s="41">
        <f t="shared" si="63"/>
        <v>35.819699999999997</v>
      </c>
      <c r="T184" s="41">
        <f t="shared" si="64"/>
        <v>27.2912</v>
      </c>
      <c r="U184" s="41">
        <f t="shared" si="65"/>
        <v>13.6456</v>
      </c>
      <c r="V184" s="41">
        <f t="shared" si="76"/>
        <v>13.6456</v>
      </c>
      <c r="W184" s="41">
        <f t="shared" si="66"/>
        <v>27.2912</v>
      </c>
      <c r="X184" s="41">
        <f t="shared" si="67"/>
        <v>0</v>
      </c>
      <c r="Y184" s="41">
        <f t="shared" si="67"/>
        <v>0</v>
      </c>
      <c r="Z184" s="41">
        <f t="shared" si="68"/>
        <v>8.5284999999999993</v>
      </c>
      <c r="AA184" s="41">
        <f t="shared" si="69"/>
        <v>0</v>
      </c>
      <c r="AB184" s="41">
        <f t="shared" si="70"/>
        <v>34.113999999999997</v>
      </c>
      <c r="AC184" s="41">
        <f t="shared" si="71"/>
        <v>34.113999999999997</v>
      </c>
      <c r="AD184" s="41">
        <f t="shared" si="72"/>
        <v>34.113999999999997</v>
      </c>
      <c r="AE184" s="41">
        <f t="shared" si="73"/>
        <v>136.45599999999999</v>
      </c>
      <c r="AF184" s="41">
        <f t="shared" si="74"/>
        <v>0</v>
      </c>
      <c r="AG184" s="41">
        <f t="shared" si="77"/>
        <v>0</v>
      </c>
      <c r="AH184" s="41">
        <f t="shared" si="75"/>
        <v>0</v>
      </c>
    </row>
    <row r="185" spans="2:34" ht="15" customHeight="1" x14ac:dyDescent="0.3">
      <c r="B185" s="60" t="s">
        <v>234</v>
      </c>
      <c r="C185" s="48">
        <v>461.73</v>
      </c>
      <c r="D185" s="48">
        <v>56.42</v>
      </c>
      <c r="E185" s="48">
        <v>0</v>
      </c>
      <c r="F185" s="48">
        <v>260.04000000000002</v>
      </c>
      <c r="G185" s="48">
        <v>50.49</v>
      </c>
      <c r="H185" s="48">
        <v>0</v>
      </c>
      <c r="I185" s="48">
        <v>0</v>
      </c>
      <c r="J185" s="49">
        <v>0</v>
      </c>
      <c r="K185" s="48">
        <f t="shared" si="78"/>
        <v>31.088999999999999</v>
      </c>
      <c r="L185" s="48">
        <v>0</v>
      </c>
      <c r="M185" s="48">
        <f t="shared" si="79"/>
        <v>828.68000000000006</v>
      </c>
      <c r="N185" s="41">
        <f t="shared" si="58"/>
        <v>198.88320000000002</v>
      </c>
      <c r="O185" s="41">
        <f t="shared" si="59"/>
        <v>65.603836095600002</v>
      </c>
      <c r="P185" s="41">
        <f t="shared" si="60"/>
        <v>55.245336095600003</v>
      </c>
      <c r="Q185" s="41">
        <f t="shared" si="61"/>
        <v>65.603836095600002</v>
      </c>
      <c r="R185" s="41">
        <f t="shared" si="62"/>
        <v>0</v>
      </c>
      <c r="S185" s="41">
        <f t="shared" si="63"/>
        <v>43.505700000000004</v>
      </c>
      <c r="T185" s="41">
        <f t="shared" si="64"/>
        <v>33.147200000000005</v>
      </c>
      <c r="U185" s="41">
        <f t="shared" si="65"/>
        <v>16.573600000000003</v>
      </c>
      <c r="V185" s="41">
        <f t="shared" si="76"/>
        <v>16.573600000000003</v>
      </c>
      <c r="W185" s="41">
        <f t="shared" si="66"/>
        <v>33.147200000000005</v>
      </c>
      <c r="X185" s="41">
        <f t="shared" si="67"/>
        <v>0</v>
      </c>
      <c r="Y185" s="41">
        <f t="shared" si="67"/>
        <v>0</v>
      </c>
      <c r="Z185" s="41">
        <f t="shared" si="68"/>
        <v>10.358500000000001</v>
      </c>
      <c r="AA185" s="41">
        <f t="shared" si="69"/>
        <v>0</v>
      </c>
      <c r="AB185" s="41">
        <f t="shared" si="70"/>
        <v>41.434000000000005</v>
      </c>
      <c r="AC185" s="41">
        <f t="shared" si="71"/>
        <v>41.434000000000005</v>
      </c>
      <c r="AD185" s="41">
        <f t="shared" si="72"/>
        <v>41.434000000000005</v>
      </c>
      <c r="AE185" s="41">
        <f t="shared" si="73"/>
        <v>165.73600000000002</v>
      </c>
      <c r="AF185" s="41">
        <f t="shared" si="74"/>
        <v>0</v>
      </c>
      <c r="AG185" s="41">
        <f t="shared" si="77"/>
        <v>0</v>
      </c>
      <c r="AH185" s="41">
        <f t="shared" si="75"/>
        <v>0</v>
      </c>
    </row>
    <row r="186" spans="2:34" ht="15" customHeight="1" x14ac:dyDescent="0.3">
      <c r="B186" s="60" t="s">
        <v>235</v>
      </c>
      <c r="C186" s="48">
        <v>449.3</v>
      </c>
      <c r="D186" s="48">
        <v>0</v>
      </c>
      <c r="E186" s="48">
        <v>0</v>
      </c>
      <c r="F186" s="48">
        <v>195.4</v>
      </c>
      <c r="G186" s="48">
        <v>33.18</v>
      </c>
      <c r="H186" s="48">
        <v>0</v>
      </c>
      <c r="I186" s="48">
        <v>0</v>
      </c>
      <c r="J186" s="49">
        <v>0</v>
      </c>
      <c r="K186" s="48">
        <v>0</v>
      </c>
      <c r="L186" s="48">
        <v>0</v>
      </c>
      <c r="M186" s="48">
        <f t="shared" si="79"/>
        <v>677.88</v>
      </c>
      <c r="N186" s="41">
        <f t="shared" si="58"/>
        <v>162.69119999999998</v>
      </c>
      <c r="O186" s="41">
        <f t="shared" si="59"/>
        <v>53.665502259599997</v>
      </c>
      <c r="P186" s="41">
        <f t="shared" si="60"/>
        <v>45.192002259599995</v>
      </c>
      <c r="Q186" s="41">
        <f t="shared" si="61"/>
        <v>53.665502259599997</v>
      </c>
      <c r="R186" s="41">
        <f t="shared" si="62"/>
        <v>0</v>
      </c>
      <c r="S186" s="41">
        <f t="shared" si="63"/>
        <v>35.588699999999996</v>
      </c>
      <c r="T186" s="41">
        <f t="shared" si="64"/>
        <v>27.115200000000002</v>
      </c>
      <c r="U186" s="41">
        <f t="shared" si="65"/>
        <v>13.557600000000001</v>
      </c>
      <c r="V186" s="41">
        <f t="shared" si="76"/>
        <v>13.557600000000001</v>
      </c>
      <c r="W186" s="41">
        <f t="shared" si="66"/>
        <v>27.115200000000002</v>
      </c>
      <c r="X186" s="41">
        <f t="shared" si="67"/>
        <v>0</v>
      </c>
      <c r="Y186" s="41">
        <f t="shared" si="67"/>
        <v>0</v>
      </c>
      <c r="Z186" s="41">
        <f t="shared" si="68"/>
        <v>8.4734999999999996</v>
      </c>
      <c r="AA186" s="41">
        <f t="shared" si="69"/>
        <v>0</v>
      </c>
      <c r="AB186" s="41">
        <f t="shared" si="70"/>
        <v>33.893999999999998</v>
      </c>
      <c r="AC186" s="41">
        <f t="shared" si="71"/>
        <v>33.893999999999998</v>
      </c>
      <c r="AD186" s="41">
        <f t="shared" si="72"/>
        <v>33.893999999999998</v>
      </c>
      <c r="AE186" s="41">
        <f t="shared" si="73"/>
        <v>135.57599999999999</v>
      </c>
      <c r="AF186" s="41">
        <f t="shared" si="74"/>
        <v>0</v>
      </c>
      <c r="AG186" s="41">
        <f t="shared" si="77"/>
        <v>0</v>
      </c>
      <c r="AH186" s="41">
        <f t="shared" si="75"/>
        <v>0</v>
      </c>
    </row>
    <row r="187" spans="2:34" ht="15" customHeight="1" x14ac:dyDescent="0.3">
      <c r="B187" s="60" t="s">
        <v>236</v>
      </c>
      <c r="C187" s="48">
        <f>457.86-246.67</f>
        <v>211.19000000000003</v>
      </c>
      <c r="D187" s="48">
        <v>0</v>
      </c>
      <c r="E187" s="48">
        <v>0</v>
      </c>
      <c r="F187" s="48">
        <v>246.89</v>
      </c>
      <c r="G187" s="48">
        <v>41.92</v>
      </c>
      <c r="H187" s="48">
        <v>0</v>
      </c>
      <c r="I187" s="48">
        <v>0</v>
      </c>
      <c r="J187" s="49">
        <v>0</v>
      </c>
      <c r="K187" s="48">
        <f t="shared" si="78"/>
        <v>12.6714</v>
      </c>
      <c r="L187" s="48">
        <v>0</v>
      </c>
      <c r="M187" s="48">
        <f t="shared" si="79"/>
        <v>500.00000000000006</v>
      </c>
      <c r="N187" s="41">
        <f t="shared" si="58"/>
        <v>120.00000000000001</v>
      </c>
      <c r="O187" s="41">
        <f t="shared" si="59"/>
        <v>39.583335000000005</v>
      </c>
      <c r="P187" s="41">
        <f t="shared" si="60"/>
        <v>33.333335000000005</v>
      </c>
      <c r="Q187" s="41">
        <f t="shared" si="61"/>
        <v>39.583335000000005</v>
      </c>
      <c r="R187" s="41">
        <f t="shared" si="62"/>
        <v>0</v>
      </c>
      <c r="S187" s="41">
        <f t="shared" si="63"/>
        <v>26.250000000000004</v>
      </c>
      <c r="T187" s="41">
        <f t="shared" si="64"/>
        <v>20.000000000000004</v>
      </c>
      <c r="U187" s="41">
        <f t="shared" si="65"/>
        <v>10.000000000000002</v>
      </c>
      <c r="V187" s="41">
        <f t="shared" si="76"/>
        <v>10.000000000000002</v>
      </c>
      <c r="W187" s="41">
        <f t="shared" si="66"/>
        <v>20.000000000000004</v>
      </c>
      <c r="X187" s="41">
        <f t="shared" si="67"/>
        <v>0</v>
      </c>
      <c r="Y187" s="41">
        <f t="shared" si="67"/>
        <v>0</v>
      </c>
      <c r="Z187" s="41">
        <f t="shared" si="68"/>
        <v>6.2500000000000009</v>
      </c>
      <c r="AA187" s="41">
        <f t="shared" si="69"/>
        <v>0</v>
      </c>
      <c r="AB187" s="41">
        <f t="shared" si="70"/>
        <v>25.000000000000004</v>
      </c>
      <c r="AC187" s="41">
        <f t="shared" si="71"/>
        <v>25.000000000000004</v>
      </c>
      <c r="AD187" s="41">
        <f t="shared" si="72"/>
        <v>25.000000000000004</v>
      </c>
      <c r="AE187" s="41">
        <f t="shared" si="73"/>
        <v>100.00000000000001</v>
      </c>
      <c r="AF187" s="41">
        <f t="shared" si="74"/>
        <v>0</v>
      </c>
      <c r="AG187" s="41">
        <f t="shared" si="77"/>
        <v>0</v>
      </c>
      <c r="AH187" s="41">
        <f t="shared" si="75"/>
        <v>0</v>
      </c>
    </row>
    <row r="188" spans="2:34" ht="15" customHeight="1" x14ac:dyDescent="0.3">
      <c r="B188" s="60" t="s">
        <v>237</v>
      </c>
      <c r="C188" s="48">
        <f>484.55-208.47</f>
        <v>276.08000000000004</v>
      </c>
      <c r="D188" s="48">
        <v>0</v>
      </c>
      <c r="E188" s="48">
        <v>0</v>
      </c>
      <c r="F188" s="48">
        <v>706.88</v>
      </c>
      <c r="G188" s="48">
        <v>120.06</v>
      </c>
      <c r="H188" s="48">
        <v>0</v>
      </c>
      <c r="I188" s="48">
        <v>0</v>
      </c>
      <c r="J188" s="49">
        <v>0</v>
      </c>
      <c r="K188" s="48">
        <f t="shared" si="78"/>
        <v>16.564800000000002</v>
      </c>
      <c r="L188" s="48">
        <v>0</v>
      </c>
      <c r="M188" s="48">
        <f t="shared" si="79"/>
        <v>1103.02</v>
      </c>
      <c r="N188" s="41">
        <f t="shared" si="58"/>
        <v>264.72479999999996</v>
      </c>
      <c r="O188" s="41">
        <f t="shared" si="59"/>
        <v>87.322420343399997</v>
      </c>
      <c r="P188" s="41">
        <f t="shared" si="60"/>
        <v>73.534670343399995</v>
      </c>
      <c r="Q188" s="41">
        <f t="shared" si="61"/>
        <v>87.322420343399997</v>
      </c>
      <c r="R188" s="41">
        <f t="shared" si="62"/>
        <v>0</v>
      </c>
      <c r="S188" s="41">
        <f t="shared" si="63"/>
        <v>57.908549999999998</v>
      </c>
      <c r="T188" s="41">
        <f t="shared" si="64"/>
        <v>44.120800000000003</v>
      </c>
      <c r="U188" s="41">
        <f t="shared" si="65"/>
        <v>22.060400000000001</v>
      </c>
      <c r="V188" s="41">
        <f t="shared" si="76"/>
        <v>22.060400000000001</v>
      </c>
      <c r="W188" s="41">
        <f t="shared" si="66"/>
        <v>44.120800000000003</v>
      </c>
      <c r="X188" s="41">
        <f t="shared" si="67"/>
        <v>0</v>
      </c>
      <c r="Y188" s="41">
        <f t="shared" si="67"/>
        <v>0</v>
      </c>
      <c r="Z188" s="41">
        <f t="shared" si="68"/>
        <v>13.787750000000001</v>
      </c>
      <c r="AA188" s="41">
        <f t="shared" si="69"/>
        <v>0</v>
      </c>
      <c r="AB188" s="41">
        <f t="shared" si="70"/>
        <v>55.151000000000003</v>
      </c>
      <c r="AC188" s="41">
        <f t="shared" si="71"/>
        <v>55.151000000000003</v>
      </c>
      <c r="AD188" s="41">
        <f t="shared" si="72"/>
        <v>55.151000000000003</v>
      </c>
      <c r="AE188" s="41">
        <f t="shared" si="73"/>
        <v>220.60400000000001</v>
      </c>
      <c r="AF188" s="41">
        <f t="shared" si="74"/>
        <v>0</v>
      </c>
      <c r="AG188" s="41">
        <f t="shared" si="77"/>
        <v>0</v>
      </c>
      <c r="AH188" s="41">
        <f t="shared" si="75"/>
        <v>0</v>
      </c>
    </row>
    <row r="189" spans="2:34" ht="15" customHeight="1" x14ac:dyDescent="0.3">
      <c r="B189" s="47" t="s">
        <v>48</v>
      </c>
      <c r="C189" s="48">
        <v>469.07</v>
      </c>
      <c r="D189" s="48">
        <v>0</v>
      </c>
      <c r="E189" s="48">
        <v>0</v>
      </c>
      <c r="F189" s="48">
        <v>363.32</v>
      </c>
      <c r="G189" s="48">
        <v>65.599999999999994</v>
      </c>
      <c r="H189" s="48">
        <v>0</v>
      </c>
      <c r="I189" s="48">
        <v>0</v>
      </c>
      <c r="J189" s="49">
        <v>0</v>
      </c>
      <c r="K189" s="48">
        <f t="shared" si="78"/>
        <v>28.144199999999998</v>
      </c>
      <c r="L189" s="48">
        <v>0</v>
      </c>
      <c r="M189" s="48">
        <f t="shared" si="79"/>
        <v>897.99</v>
      </c>
      <c r="N189" s="41">
        <f t="shared" si="58"/>
        <v>215.51759999999999</v>
      </c>
      <c r="O189" s="41">
        <f t="shared" si="59"/>
        <v>71.090877993299998</v>
      </c>
      <c r="P189" s="41">
        <f t="shared" si="60"/>
        <v>59.8660029933</v>
      </c>
      <c r="Q189" s="41">
        <f t="shared" si="61"/>
        <v>71.090877993299998</v>
      </c>
      <c r="R189" s="41">
        <f t="shared" si="62"/>
        <v>0</v>
      </c>
      <c r="S189" s="41">
        <f t="shared" si="63"/>
        <v>47.144475</v>
      </c>
      <c r="T189" s="41">
        <f t="shared" si="64"/>
        <v>35.919600000000003</v>
      </c>
      <c r="U189" s="41">
        <f t="shared" si="65"/>
        <v>17.959800000000001</v>
      </c>
      <c r="V189" s="41">
        <f t="shared" si="76"/>
        <v>17.959800000000001</v>
      </c>
      <c r="W189" s="41">
        <f t="shared" si="66"/>
        <v>35.919600000000003</v>
      </c>
      <c r="X189" s="41">
        <f t="shared" si="67"/>
        <v>0</v>
      </c>
      <c r="Y189" s="41">
        <f t="shared" si="67"/>
        <v>0</v>
      </c>
      <c r="Z189" s="41">
        <f t="shared" si="68"/>
        <v>11.224875000000001</v>
      </c>
      <c r="AA189" s="41">
        <f t="shared" si="69"/>
        <v>0</v>
      </c>
      <c r="AB189" s="41">
        <f t="shared" si="70"/>
        <v>44.899500000000003</v>
      </c>
      <c r="AC189" s="41">
        <f t="shared" si="71"/>
        <v>44.899500000000003</v>
      </c>
      <c r="AD189" s="41">
        <f t="shared" si="72"/>
        <v>44.899500000000003</v>
      </c>
      <c r="AE189" s="41">
        <f t="shared" si="73"/>
        <v>179.59800000000001</v>
      </c>
      <c r="AF189" s="41">
        <f t="shared" si="74"/>
        <v>0</v>
      </c>
      <c r="AG189" s="41">
        <f t="shared" si="77"/>
        <v>0</v>
      </c>
      <c r="AH189" s="41">
        <f t="shared" si="75"/>
        <v>0</v>
      </c>
    </row>
    <row r="190" spans="2:34" ht="15" customHeight="1" x14ac:dyDescent="0.3">
      <c r="B190" s="47" t="s">
        <v>238</v>
      </c>
      <c r="C190" s="48">
        <v>474.01</v>
      </c>
      <c r="D190" s="48">
        <v>0</v>
      </c>
      <c r="E190" s="48">
        <v>0</v>
      </c>
      <c r="F190" s="48">
        <v>368.17</v>
      </c>
      <c r="G190" s="48">
        <v>66.53</v>
      </c>
      <c r="H190" s="48">
        <v>0</v>
      </c>
      <c r="I190" s="48">
        <v>0</v>
      </c>
      <c r="J190" s="49">
        <v>0</v>
      </c>
      <c r="K190" s="48">
        <f t="shared" si="78"/>
        <v>28.4406</v>
      </c>
      <c r="L190" s="48">
        <v>0</v>
      </c>
      <c r="M190" s="48">
        <f t="shared" si="79"/>
        <v>908.71</v>
      </c>
      <c r="N190" s="41">
        <f t="shared" si="58"/>
        <v>218.09039999999999</v>
      </c>
      <c r="O190" s="41">
        <f t="shared" si="59"/>
        <v>71.939544695699993</v>
      </c>
      <c r="P190" s="41">
        <f t="shared" si="60"/>
        <v>60.580669695700003</v>
      </c>
      <c r="Q190" s="41">
        <f t="shared" si="61"/>
        <v>71.939544695699993</v>
      </c>
      <c r="R190" s="41">
        <f t="shared" si="62"/>
        <v>0</v>
      </c>
      <c r="S190" s="41">
        <f t="shared" si="63"/>
        <v>47.707275000000003</v>
      </c>
      <c r="T190" s="41">
        <f t="shared" si="64"/>
        <v>36.348400000000005</v>
      </c>
      <c r="U190" s="41">
        <f t="shared" si="65"/>
        <v>18.174200000000003</v>
      </c>
      <c r="V190" s="41">
        <f t="shared" si="76"/>
        <v>18.174200000000003</v>
      </c>
      <c r="W190" s="41">
        <f t="shared" si="66"/>
        <v>36.348400000000005</v>
      </c>
      <c r="X190" s="41">
        <f t="shared" si="67"/>
        <v>0</v>
      </c>
      <c r="Y190" s="41">
        <f t="shared" si="67"/>
        <v>0</v>
      </c>
      <c r="Z190" s="41">
        <f t="shared" si="68"/>
        <v>11.358875000000001</v>
      </c>
      <c r="AA190" s="41">
        <f t="shared" si="69"/>
        <v>0</v>
      </c>
      <c r="AB190" s="41">
        <f t="shared" si="70"/>
        <v>45.435500000000005</v>
      </c>
      <c r="AC190" s="41">
        <f t="shared" si="71"/>
        <v>45.435500000000005</v>
      </c>
      <c r="AD190" s="41">
        <f t="shared" si="72"/>
        <v>45.435500000000005</v>
      </c>
      <c r="AE190" s="41">
        <f t="shared" si="73"/>
        <v>181.74200000000002</v>
      </c>
      <c r="AF190" s="41">
        <f t="shared" si="74"/>
        <v>0</v>
      </c>
      <c r="AG190" s="41">
        <f t="shared" si="77"/>
        <v>0</v>
      </c>
      <c r="AH190" s="41">
        <f t="shared" si="75"/>
        <v>0</v>
      </c>
    </row>
    <row r="191" spans="2:34" ht="15" customHeight="1" x14ac:dyDescent="0.3">
      <c r="B191" s="47" t="s">
        <v>49</v>
      </c>
      <c r="C191" s="48">
        <v>557.29</v>
      </c>
      <c r="D191" s="48">
        <v>0</v>
      </c>
      <c r="E191" s="48">
        <v>0</v>
      </c>
      <c r="F191" s="48">
        <v>359.67</v>
      </c>
      <c r="G191" s="48">
        <v>64.989999999999995</v>
      </c>
      <c r="H191" s="48">
        <v>0</v>
      </c>
      <c r="I191" s="48">
        <v>0</v>
      </c>
      <c r="J191" s="49">
        <v>0</v>
      </c>
      <c r="K191" s="48">
        <f t="shared" si="78"/>
        <v>33.437399999999997</v>
      </c>
      <c r="L191" s="48">
        <v>0</v>
      </c>
      <c r="M191" s="48">
        <f t="shared" si="79"/>
        <v>981.95</v>
      </c>
      <c r="N191" s="41">
        <f t="shared" si="58"/>
        <v>235.66800000000001</v>
      </c>
      <c r="O191" s="41">
        <f t="shared" si="59"/>
        <v>77.7377116065</v>
      </c>
      <c r="P191" s="41">
        <f t="shared" si="60"/>
        <v>65.463336606499993</v>
      </c>
      <c r="Q191" s="41">
        <f t="shared" si="61"/>
        <v>77.7377116065</v>
      </c>
      <c r="R191" s="41">
        <f t="shared" si="62"/>
        <v>0</v>
      </c>
      <c r="S191" s="41">
        <f t="shared" si="63"/>
        <v>51.552374999999998</v>
      </c>
      <c r="T191" s="41">
        <f t="shared" si="64"/>
        <v>39.278000000000006</v>
      </c>
      <c r="U191" s="41">
        <f t="shared" si="65"/>
        <v>19.639000000000003</v>
      </c>
      <c r="V191" s="41">
        <f t="shared" si="76"/>
        <v>19.639000000000003</v>
      </c>
      <c r="W191" s="41">
        <f t="shared" si="66"/>
        <v>39.278000000000006</v>
      </c>
      <c r="X191" s="41">
        <f t="shared" si="67"/>
        <v>0</v>
      </c>
      <c r="Y191" s="41">
        <f t="shared" si="67"/>
        <v>0</v>
      </c>
      <c r="Z191" s="41">
        <f t="shared" si="68"/>
        <v>12.274375000000001</v>
      </c>
      <c r="AA191" s="41">
        <f t="shared" si="69"/>
        <v>0</v>
      </c>
      <c r="AB191" s="41">
        <f t="shared" si="70"/>
        <v>49.097500000000004</v>
      </c>
      <c r="AC191" s="41">
        <f t="shared" si="71"/>
        <v>49.097500000000004</v>
      </c>
      <c r="AD191" s="41">
        <f t="shared" si="72"/>
        <v>49.097500000000004</v>
      </c>
      <c r="AE191" s="41">
        <f t="shared" si="73"/>
        <v>196.39000000000001</v>
      </c>
      <c r="AF191" s="41">
        <f t="shared" si="74"/>
        <v>0</v>
      </c>
      <c r="AG191" s="41">
        <f t="shared" si="77"/>
        <v>0</v>
      </c>
      <c r="AH191" s="41">
        <f t="shared" si="75"/>
        <v>0</v>
      </c>
    </row>
    <row r="192" spans="2:34" ht="15" customHeight="1" x14ac:dyDescent="0.3">
      <c r="B192" s="47" t="s">
        <v>239</v>
      </c>
      <c r="C192" s="48">
        <v>411.7</v>
      </c>
      <c r="D192" s="48">
        <v>52.33</v>
      </c>
      <c r="E192" s="48">
        <v>0</v>
      </c>
      <c r="F192" s="48">
        <v>229.89</v>
      </c>
      <c r="G192" s="48">
        <v>65.650000000000006</v>
      </c>
      <c r="H192" s="48">
        <v>0</v>
      </c>
      <c r="I192" s="48">
        <v>0</v>
      </c>
      <c r="J192" s="49">
        <v>0</v>
      </c>
      <c r="K192" s="48">
        <v>0</v>
      </c>
      <c r="L192" s="48">
        <v>0</v>
      </c>
      <c r="M192" s="48">
        <f t="shared" si="79"/>
        <v>759.56999999999994</v>
      </c>
      <c r="N192" s="41">
        <f t="shared" si="58"/>
        <v>182.29679999999999</v>
      </c>
      <c r="O192" s="41">
        <f t="shared" si="59"/>
        <v>60.132627531899992</v>
      </c>
      <c r="P192" s="41">
        <f t="shared" si="60"/>
        <v>50.638002531899993</v>
      </c>
      <c r="Q192" s="41">
        <f t="shared" si="61"/>
        <v>60.132627531899992</v>
      </c>
      <c r="R192" s="41">
        <f t="shared" si="62"/>
        <v>0</v>
      </c>
      <c r="S192" s="41">
        <f t="shared" si="63"/>
        <v>39.877424999999995</v>
      </c>
      <c r="T192" s="41">
        <f t="shared" si="64"/>
        <v>30.3828</v>
      </c>
      <c r="U192" s="41">
        <f t="shared" si="65"/>
        <v>15.1914</v>
      </c>
      <c r="V192" s="41">
        <f t="shared" si="76"/>
        <v>15.1914</v>
      </c>
      <c r="W192" s="41">
        <f t="shared" si="66"/>
        <v>30.3828</v>
      </c>
      <c r="X192" s="41">
        <f t="shared" si="67"/>
        <v>0</v>
      </c>
      <c r="Y192" s="41">
        <f t="shared" si="67"/>
        <v>0</v>
      </c>
      <c r="Z192" s="41">
        <f t="shared" si="68"/>
        <v>9.4946249999999992</v>
      </c>
      <c r="AA192" s="41">
        <f t="shared" si="69"/>
        <v>0</v>
      </c>
      <c r="AB192" s="41">
        <f t="shared" si="70"/>
        <v>37.978499999999997</v>
      </c>
      <c r="AC192" s="41">
        <f t="shared" si="71"/>
        <v>37.978499999999997</v>
      </c>
      <c r="AD192" s="41">
        <f t="shared" si="72"/>
        <v>37.978499999999997</v>
      </c>
      <c r="AE192" s="41">
        <f t="shared" si="73"/>
        <v>151.91399999999999</v>
      </c>
      <c r="AF192" s="41">
        <f t="shared" si="74"/>
        <v>0</v>
      </c>
      <c r="AG192" s="41">
        <f t="shared" si="77"/>
        <v>0</v>
      </c>
      <c r="AH192" s="41">
        <f t="shared" si="75"/>
        <v>0</v>
      </c>
    </row>
    <row r="193" spans="2:34" ht="15" customHeight="1" x14ac:dyDescent="0.3">
      <c r="B193" s="47" t="s">
        <v>50</v>
      </c>
      <c r="C193" s="48">
        <v>0</v>
      </c>
      <c r="D193" s="48">
        <v>0</v>
      </c>
      <c r="E193" s="48">
        <v>0</v>
      </c>
      <c r="F193" s="48">
        <v>0</v>
      </c>
      <c r="G193" s="48">
        <v>0</v>
      </c>
      <c r="H193" s="48">
        <v>0</v>
      </c>
      <c r="I193" s="48">
        <v>0</v>
      </c>
      <c r="J193" s="49">
        <v>0</v>
      </c>
      <c r="K193" s="48">
        <f t="shared" si="78"/>
        <v>0</v>
      </c>
      <c r="L193" s="48">
        <v>0</v>
      </c>
      <c r="M193" s="48">
        <f t="shared" si="79"/>
        <v>0</v>
      </c>
      <c r="N193" s="41">
        <f t="shared" si="58"/>
        <v>0</v>
      </c>
      <c r="O193" s="41">
        <f t="shared" si="59"/>
        <v>0</v>
      </c>
      <c r="P193" s="41">
        <f t="shared" si="60"/>
        <v>0</v>
      </c>
      <c r="Q193" s="41">
        <f t="shared" si="61"/>
        <v>0</v>
      </c>
      <c r="R193" s="41">
        <f t="shared" si="62"/>
        <v>0</v>
      </c>
      <c r="S193" s="41">
        <f t="shared" si="63"/>
        <v>0</v>
      </c>
      <c r="T193" s="41">
        <f t="shared" si="64"/>
        <v>0</v>
      </c>
      <c r="U193" s="41">
        <f t="shared" si="65"/>
        <v>0</v>
      </c>
      <c r="V193" s="41">
        <f t="shared" si="76"/>
        <v>0</v>
      </c>
      <c r="W193" s="41">
        <f t="shared" si="66"/>
        <v>0</v>
      </c>
      <c r="X193" s="41">
        <f t="shared" si="67"/>
        <v>0</v>
      </c>
      <c r="Y193" s="41">
        <f t="shared" si="67"/>
        <v>0</v>
      </c>
      <c r="Z193" s="41">
        <f t="shared" si="68"/>
        <v>0</v>
      </c>
      <c r="AA193" s="41">
        <f t="shared" si="69"/>
        <v>0</v>
      </c>
      <c r="AB193" s="41">
        <f t="shared" si="70"/>
        <v>0</v>
      </c>
      <c r="AC193" s="41">
        <f t="shared" si="71"/>
        <v>0</v>
      </c>
      <c r="AD193" s="41">
        <f t="shared" si="72"/>
        <v>0</v>
      </c>
      <c r="AE193" s="41">
        <f t="shared" si="73"/>
        <v>0</v>
      </c>
      <c r="AF193" s="41">
        <f t="shared" si="74"/>
        <v>0</v>
      </c>
      <c r="AG193" s="41">
        <f t="shared" si="77"/>
        <v>0</v>
      </c>
      <c r="AH193" s="41">
        <f t="shared" si="75"/>
        <v>0</v>
      </c>
    </row>
    <row r="194" spans="2:34" ht="15" customHeight="1" x14ac:dyDescent="0.3">
      <c r="B194" s="47" t="s">
        <v>240</v>
      </c>
      <c r="C194" s="48">
        <v>408.11</v>
      </c>
      <c r="D194" s="48">
        <v>0</v>
      </c>
      <c r="E194" s="48">
        <v>0</v>
      </c>
      <c r="F194" s="48">
        <v>389.52</v>
      </c>
      <c r="G194" s="48">
        <v>73.22</v>
      </c>
      <c r="H194" s="48">
        <v>0</v>
      </c>
      <c r="I194" s="48">
        <v>0</v>
      </c>
      <c r="J194" s="49">
        <v>0</v>
      </c>
      <c r="K194" s="48">
        <f t="shared" si="78"/>
        <v>24.486599999999999</v>
      </c>
      <c r="L194" s="48">
        <v>0</v>
      </c>
      <c r="M194" s="48">
        <f t="shared" si="79"/>
        <v>870.85</v>
      </c>
      <c r="N194" s="41">
        <f t="shared" si="58"/>
        <v>209.00399999999999</v>
      </c>
      <c r="O194" s="41">
        <f t="shared" si="59"/>
        <v>68.942294569499992</v>
      </c>
      <c r="P194" s="41">
        <f t="shared" si="60"/>
        <v>58.056669569500002</v>
      </c>
      <c r="Q194" s="41">
        <f t="shared" si="61"/>
        <v>68.942294569499992</v>
      </c>
      <c r="R194" s="41">
        <f t="shared" si="62"/>
        <v>0</v>
      </c>
      <c r="S194" s="41">
        <f t="shared" si="63"/>
        <v>45.719625000000001</v>
      </c>
      <c r="T194" s="41">
        <f t="shared" si="64"/>
        <v>34.834000000000003</v>
      </c>
      <c r="U194" s="41">
        <f t="shared" si="65"/>
        <v>17.417000000000002</v>
      </c>
      <c r="V194" s="41">
        <f t="shared" si="76"/>
        <v>17.417000000000002</v>
      </c>
      <c r="W194" s="41">
        <f t="shared" si="66"/>
        <v>34.834000000000003</v>
      </c>
      <c r="X194" s="41">
        <f t="shared" si="67"/>
        <v>0</v>
      </c>
      <c r="Y194" s="41">
        <f t="shared" si="67"/>
        <v>0</v>
      </c>
      <c r="Z194" s="41">
        <f t="shared" si="68"/>
        <v>10.885625000000001</v>
      </c>
      <c r="AA194" s="41">
        <f t="shared" si="69"/>
        <v>0</v>
      </c>
      <c r="AB194" s="41">
        <f t="shared" si="70"/>
        <v>43.542500000000004</v>
      </c>
      <c r="AC194" s="41">
        <f t="shared" si="71"/>
        <v>43.542500000000004</v>
      </c>
      <c r="AD194" s="41">
        <f t="shared" si="72"/>
        <v>43.542500000000004</v>
      </c>
      <c r="AE194" s="41">
        <f t="shared" si="73"/>
        <v>174.17000000000002</v>
      </c>
      <c r="AF194" s="41">
        <f t="shared" si="74"/>
        <v>0</v>
      </c>
      <c r="AG194" s="41">
        <f t="shared" si="77"/>
        <v>0</v>
      </c>
      <c r="AH194" s="41">
        <f t="shared" si="75"/>
        <v>0</v>
      </c>
    </row>
    <row r="195" spans="2:34" ht="15" customHeight="1" x14ac:dyDescent="0.3">
      <c r="B195" s="47" t="s">
        <v>241</v>
      </c>
      <c r="C195" s="48">
        <v>384.23</v>
      </c>
      <c r="D195" s="48">
        <v>0</v>
      </c>
      <c r="E195" s="48">
        <v>0</v>
      </c>
      <c r="F195" s="48">
        <v>197.28</v>
      </c>
      <c r="G195" s="48">
        <v>37.159999999999997</v>
      </c>
      <c r="H195" s="48">
        <v>0</v>
      </c>
      <c r="I195" s="48">
        <v>0</v>
      </c>
      <c r="J195" s="49">
        <v>0</v>
      </c>
      <c r="K195" s="48">
        <f t="shared" si="78"/>
        <v>23.053799999999999</v>
      </c>
      <c r="L195" s="48">
        <v>0</v>
      </c>
      <c r="M195" s="48">
        <f t="shared" si="79"/>
        <v>618.66999999999996</v>
      </c>
      <c r="N195" s="41">
        <f t="shared" si="58"/>
        <v>148.48079999999999</v>
      </c>
      <c r="O195" s="41">
        <f t="shared" si="59"/>
        <v>48.978043728899991</v>
      </c>
      <c r="P195" s="41">
        <f t="shared" si="60"/>
        <v>41.244668728899995</v>
      </c>
      <c r="Q195" s="41">
        <f t="shared" si="61"/>
        <v>48.978043728899991</v>
      </c>
      <c r="R195" s="41">
        <f t="shared" si="62"/>
        <v>0</v>
      </c>
      <c r="S195" s="41">
        <f t="shared" si="63"/>
        <v>32.480174999999996</v>
      </c>
      <c r="T195" s="41">
        <f t="shared" si="64"/>
        <v>24.7468</v>
      </c>
      <c r="U195" s="41">
        <f t="shared" si="65"/>
        <v>12.3734</v>
      </c>
      <c r="V195" s="41">
        <f t="shared" si="76"/>
        <v>12.3734</v>
      </c>
      <c r="W195" s="41">
        <f t="shared" si="66"/>
        <v>24.7468</v>
      </c>
      <c r="X195" s="41">
        <f t="shared" si="67"/>
        <v>0</v>
      </c>
      <c r="Y195" s="41">
        <f t="shared" si="67"/>
        <v>0</v>
      </c>
      <c r="Z195" s="41">
        <f t="shared" si="68"/>
        <v>7.7333749999999997</v>
      </c>
      <c r="AA195" s="41">
        <f t="shared" si="69"/>
        <v>0</v>
      </c>
      <c r="AB195" s="41">
        <f t="shared" si="70"/>
        <v>30.933499999999999</v>
      </c>
      <c r="AC195" s="41">
        <f t="shared" si="71"/>
        <v>30.933499999999999</v>
      </c>
      <c r="AD195" s="41">
        <f t="shared" si="72"/>
        <v>30.933499999999999</v>
      </c>
      <c r="AE195" s="41">
        <f t="shared" si="73"/>
        <v>123.73399999999999</v>
      </c>
      <c r="AF195" s="41">
        <f t="shared" si="74"/>
        <v>0</v>
      </c>
      <c r="AG195" s="41">
        <f t="shared" si="77"/>
        <v>0</v>
      </c>
      <c r="AH195" s="41">
        <f t="shared" si="75"/>
        <v>0</v>
      </c>
    </row>
    <row r="196" spans="2:34" ht="15" customHeight="1" x14ac:dyDescent="0.3">
      <c r="B196" s="47" t="s">
        <v>242</v>
      </c>
      <c r="C196" s="48">
        <v>0</v>
      </c>
      <c r="D196" s="48">
        <v>0</v>
      </c>
      <c r="E196" s="48">
        <v>0</v>
      </c>
      <c r="F196" s="48">
        <v>0</v>
      </c>
      <c r="G196" s="48">
        <v>0</v>
      </c>
      <c r="H196" s="48">
        <v>0</v>
      </c>
      <c r="I196" s="48">
        <v>0</v>
      </c>
      <c r="J196" s="49">
        <v>0</v>
      </c>
      <c r="K196" s="48">
        <f t="shared" si="78"/>
        <v>0</v>
      </c>
      <c r="L196" s="48">
        <v>0</v>
      </c>
      <c r="M196" s="48">
        <f t="shared" si="79"/>
        <v>0</v>
      </c>
      <c r="N196" s="41">
        <f t="shared" si="58"/>
        <v>0</v>
      </c>
      <c r="O196" s="41">
        <f t="shared" si="59"/>
        <v>0</v>
      </c>
      <c r="P196" s="41">
        <f t="shared" si="60"/>
        <v>0</v>
      </c>
      <c r="Q196" s="41">
        <f t="shared" si="61"/>
        <v>0</v>
      </c>
      <c r="R196" s="41">
        <f t="shared" si="62"/>
        <v>0</v>
      </c>
      <c r="S196" s="41">
        <f t="shared" si="63"/>
        <v>0</v>
      </c>
      <c r="T196" s="41">
        <f t="shared" si="64"/>
        <v>0</v>
      </c>
      <c r="U196" s="41">
        <f t="shared" si="65"/>
        <v>0</v>
      </c>
      <c r="V196" s="41">
        <f t="shared" si="76"/>
        <v>0</v>
      </c>
      <c r="W196" s="41">
        <f t="shared" si="66"/>
        <v>0</v>
      </c>
      <c r="X196" s="41">
        <f t="shared" si="67"/>
        <v>0</v>
      </c>
      <c r="Y196" s="41">
        <f t="shared" si="67"/>
        <v>0</v>
      </c>
      <c r="Z196" s="41">
        <f t="shared" si="68"/>
        <v>0</v>
      </c>
      <c r="AA196" s="41">
        <f t="shared" si="69"/>
        <v>0</v>
      </c>
      <c r="AB196" s="41">
        <f t="shared" si="70"/>
        <v>0</v>
      </c>
      <c r="AC196" s="41">
        <f t="shared" si="71"/>
        <v>0</v>
      </c>
      <c r="AD196" s="41">
        <f t="shared" si="72"/>
        <v>0</v>
      </c>
      <c r="AE196" s="41">
        <f t="shared" si="73"/>
        <v>0</v>
      </c>
      <c r="AF196" s="41">
        <f t="shared" si="74"/>
        <v>0</v>
      </c>
      <c r="AG196" s="41">
        <f t="shared" si="77"/>
        <v>0</v>
      </c>
      <c r="AH196" s="41">
        <f t="shared" si="75"/>
        <v>0</v>
      </c>
    </row>
    <row r="197" spans="2:34" ht="15" customHeight="1" x14ac:dyDescent="0.3">
      <c r="B197" s="47" t="s">
        <v>51</v>
      </c>
      <c r="C197" s="48">
        <v>0</v>
      </c>
      <c r="D197" s="48">
        <v>0</v>
      </c>
      <c r="E197" s="48">
        <v>0</v>
      </c>
      <c r="F197" s="48">
        <v>0</v>
      </c>
      <c r="G197" s="48">
        <v>0</v>
      </c>
      <c r="H197" s="48">
        <v>0</v>
      </c>
      <c r="I197" s="48">
        <v>0</v>
      </c>
      <c r="J197" s="49">
        <v>0</v>
      </c>
      <c r="K197" s="48">
        <v>0</v>
      </c>
      <c r="L197" s="48">
        <v>0</v>
      </c>
      <c r="M197" s="48">
        <f t="shared" si="79"/>
        <v>0</v>
      </c>
      <c r="N197" s="41">
        <f t="shared" si="58"/>
        <v>0</v>
      </c>
      <c r="O197" s="41">
        <f t="shared" si="59"/>
        <v>0</v>
      </c>
      <c r="P197" s="41">
        <f t="shared" si="60"/>
        <v>0</v>
      </c>
      <c r="Q197" s="41">
        <f t="shared" si="61"/>
        <v>0</v>
      </c>
      <c r="R197" s="41">
        <f t="shared" si="62"/>
        <v>0</v>
      </c>
      <c r="S197" s="41">
        <f t="shared" si="63"/>
        <v>0</v>
      </c>
      <c r="T197" s="41">
        <f t="shared" si="64"/>
        <v>0</v>
      </c>
      <c r="U197" s="41">
        <f t="shared" si="65"/>
        <v>0</v>
      </c>
      <c r="V197" s="41">
        <f t="shared" si="76"/>
        <v>0</v>
      </c>
      <c r="W197" s="41">
        <f t="shared" si="66"/>
        <v>0</v>
      </c>
      <c r="X197" s="41">
        <f t="shared" si="67"/>
        <v>0</v>
      </c>
      <c r="Y197" s="41">
        <f t="shared" si="67"/>
        <v>0</v>
      </c>
      <c r="Z197" s="41">
        <f t="shared" si="68"/>
        <v>0</v>
      </c>
      <c r="AA197" s="41">
        <f t="shared" si="69"/>
        <v>0</v>
      </c>
      <c r="AB197" s="41">
        <f t="shared" si="70"/>
        <v>0</v>
      </c>
      <c r="AC197" s="41">
        <f t="shared" si="71"/>
        <v>0</v>
      </c>
      <c r="AD197" s="41">
        <f t="shared" si="72"/>
        <v>0</v>
      </c>
      <c r="AE197" s="41">
        <f t="shared" si="73"/>
        <v>0</v>
      </c>
      <c r="AF197" s="41">
        <f t="shared" si="74"/>
        <v>0</v>
      </c>
      <c r="AG197" s="41">
        <f t="shared" si="77"/>
        <v>0</v>
      </c>
      <c r="AH197" s="41">
        <f t="shared" si="75"/>
        <v>0</v>
      </c>
    </row>
    <row r="198" spans="2:34" ht="15" customHeight="1" x14ac:dyDescent="0.3">
      <c r="B198" s="47" t="s">
        <v>52</v>
      </c>
      <c r="C198" s="48">
        <v>416.71</v>
      </c>
      <c r="D198" s="48">
        <v>0</v>
      </c>
      <c r="E198" s="48">
        <v>0</v>
      </c>
      <c r="F198" s="48">
        <v>260.04000000000002</v>
      </c>
      <c r="G198" s="48">
        <v>49.69</v>
      </c>
      <c r="H198" s="48">
        <v>0</v>
      </c>
      <c r="I198" s="48">
        <v>0</v>
      </c>
      <c r="J198" s="49">
        <v>0</v>
      </c>
      <c r="K198" s="48">
        <f t="shared" si="78"/>
        <v>25.002599999999997</v>
      </c>
      <c r="L198" s="48">
        <v>0</v>
      </c>
      <c r="M198" s="48">
        <f t="shared" si="79"/>
        <v>726.44</v>
      </c>
      <c r="N198" s="41">
        <f t="shared" si="58"/>
        <v>174.34560000000002</v>
      </c>
      <c r="O198" s="41">
        <f t="shared" si="59"/>
        <v>57.509835754800001</v>
      </c>
      <c r="P198" s="41">
        <f t="shared" si="60"/>
        <v>48.4293357548</v>
      </c>
      <c r="Q198" s="41">
        <f t="shared" si="61"/>
        <v>57.509835754800001</v>
      </c>
      <c r="R198" s="41">
        <f t="shared" si="62"/>
        <v>0</v>
      </c>
      <c r="S198" s="41">
        <f t="shared" si="63"/>
        <v>38.138100000000001</v>
      </c>
      <c r="T198" s="41">
        <f t="shared" si="64"/>
        <v>29.057600000000004</v>
      </c>
      <c r="U198" s="41">
        <f t="shared" si="65"/>
        <v>14.528800000000002</v>
      </c>
      <c r="V198" s="41">
        <f t="shared" si="76"/>
        <v>14.528800000000002</v>
      </c>
      <c r="W198" s="41">
        <f t="shared" si="66"/>
        <v>29.057600000000004</v>
      </c>
      <c r="X198" s="41">
        <f t="shared" si="67"/>
        <v>0</v>
      </c>
      <c r="Y198" s="41">
        <f t="shared" si="67"/>
        <v>0</v>
      </c>
      <c r="Z198" s="41">
        <f t="shared" si="68"/>
        <v>9.0805000000000007</v>
      </c>
      <c r="AA198" s="41">
        <f t="shared" si="69"/>
        <v>0</v>
      </c>
      <c r="AB198" s="41">
        <f t="shared" si="70"/>
        <v>36.322000000000003</v>
      </c>
      <c r="AC198" s="41">
        <f t="shared" si="71"/>
        <v>36.322000000000003</v>
      </c>
      <c r="AD198" s="41">
        <f t="shared" si="72"/>
        <v>36.322000000000003</v>
      </c>
      <c r="AE198" s="41">
        <f t="shared" si="73"/>
        <v>145.28800000000001</v>
      </c>
      <c r="AF198" s="41">
        <f t="shared" si="74"/>
        <v>0</v>
      </c>
      <c r="AG198" s="41">
        <f t="shared" si="77"/>
        <v>0</v>
      </c>
      <c r="AH198" s="41">
        <f t="shared" si="75"/>
        <v>0</v>
      </c>
    </row>
    <row r="199" spans="2:34" ht="15" customHeight="1" x14ac:dyDescent="0.3">
      <c r="B199" s="47" t="s">
        <v>243</v>
      </c>
      <c r="C199" s="48">
        <v>438.11</v>
      </c>
      <c r="D199" s="48">
        <v>0</v>
      </c>
      <c r="E199" s="48">
        <v>0</v>
      </c>
      <c r="F199" s="48">
        <v>196.09</v>
      </c>
      <c r="G199" s="48">
        <v>33.18</v>
      </c>
      <c r="H199" s="48">
        <v>0</v>
      </c>
      <c r="I199" s="48">
        <v>0</v>
      </c>
      <c r="J199" s="49">
        <v>0</v>
      </c>
      <c r="K199" s="48">
        <f t="shared" si="78"/>
        <v>26.2866</v>
      </c>
      <c r="L199" s="48">
        <v>0</v>
      </c>
      <c r="M199" s="48">
        <f t="shared" si="79"/>
        <v>667.38</v>
      </c>
      <c r="N199" s="41">
        <f t="shared" si="58"/>
        <v>160.1712</v>
      </c>
      <c r="O199" s="41">
        <f t="shared" si="59"/>
        <v>52.834252224599993</v>
      </c>
      <c r="P199" s="41">
        <f t="shared" si="60"/>
        <v>44.4920022246</v>
      </c>
      <c r="Q199" s="41">
        <f t="shared" si="61"/>
        <v>52.834252224599993</v>
      </c>
      <c r="R199" s="41">
        <f t="shared" si="62"/>
        <v>0</v>
      </c>
      <c r="S199" s="41">
        <f t="shared" si="63"/>
        <v>35.03745</v>
      </c>
      <c r="T199" s="41">
        <f t="shared" si="64"/>
        <v>26.6952</v>
      </c>
      <c r="U199" s="41">
        <f t="shared" si="65"/>
        <v>13.3476</v>
      </c>
      <c r="V199" s="41">
        <f t="shared" si="76"/>
        <v>13.3476</v>
      </c>
      <c r="W199" s="41">
        <f t="shared" si="66"/>
        <v>26.6952</v>
      </c>
      <c r="X199" s="41">
        <f t="shared" si="67"/>
        <v>0</v>
      </c>
      <c r="Y199" s="41">
        <f t="shared" si="67"/>
        <v>0</v>
      </c>
      <c r="Z199" s="41">
        <f t="shared" si="68"/>
        <v>8.3422499999999999</v>
      </c>
      <c r="AA199" s="41">
        <f t="shared" si="69"/>
        <v>0</v>
      </c>
      <c r="AB199" s="41">
        <f t="shared" si="70"/>
        <v>33.369</v>
      </c>
      <c r="AC199" s="41">
        <f t="shared" si="71"/>
        <v>33.369</v>
      </c>
      <c r="AD199" s="41">
        <f t="shared" si="72"/>
        <v>33.369</v>
      </c>
      <c r="AE199" s="41">
        <f t="shared" si="73"/>
        <v>133.476</v>
      </c>
      <c r="AF199" s="41">
        <f t="shared" si="74"/>
        <v>0</v>
      </c>
      <c r="AG199" s="41">
        <f t="shared" si="77"/>
        <v>0</v>
      </c>
      <c r="AH199" s="41">
        <f t="shared" si="75"/>
        <v>0</v>
      </c>
    </row>
    <row r="200" spans="2:34" ht="15" customHeight="1" x14ac:dyDescent="0.3">
      <c r="B200" s="47" t="s">
        <v>244</v>
      </c>
      <c r="C200" s="48">
        <v>0</v>
      </c>
      <c r="D200" s="48">
        <v>0</v>
      </c>
      <c r="E200" s="48">
        <v>0</v>
      </c>
      <c r="F200" s="48">
        <v>0</v>
      </c>
      <c r="G200" s="48">
        <v>0</v>
      </c>
      <c r="H200" s="48">
        <v>0</v>
      </c>
      <c r="I200" s="48">
        <v>0</v>
      </c>
      <c r="J200" s="49">
        <v>0</v>
      </c>
      <c r="K200" s="48">
        <f t="shared" si="78"/>
        <v>0</v>
      </c>
      <c r="L200" s="48">
        <v>0</v>
      </c>
      <c r="M200" s="48">
        <f t="shared" si="79"/>
        <v>0</v>
      </c>
      <c r="N200" s="41">
        <f t="shared" si="58"/>
        <v>0</v>
      </c>
      <c r="O200" s="41">
        <f t="shared" si="59"/>
        <v>0</v>
      </c>
      <c r="P200" s="41">
        <f t="shared" si="60"/>
        <v>0</v>
      </c>
      <c r="Q200" s="41">
        <f t="shared" si="61"/>
        <v>0</v>
      </c>
      <c r="R200" s="41">
        <f t="shared" si="62"/>
        <v>0</v>
      </c>
      <c r="S200" s="41">
        <f t="shared" si="63"/>
        <v>0</v>
      </c>
      <c r="T200" s="41">
        <f t="shared" si="64"/>
        <v>0</v>
      </c>
      <c r="U200" s="41">
        <f t="shared" si="65"/>
        <v>0</v>
      </c>
      <c r="V200" s="41">
        <f t="shared" si="76"/>
        <v>0</v>
      </c>
      <c r="W200" s="41">
        <f t="shared" si="66"/>
        <v>0</v>
      </c>
      <c r="X200" s="41">
        <f t="shared" si="67"/>
        <v>0</v>
      </c>
      <c r="Y200" s="41">
        <f t="shared" si="67"/>
        <v>0</v>
      </c>
      <c r="Z200" s="41">
        <f t="shared" si="68"/>
        <v>0</v>
      </c>
      <c r="AA200" s="41">
        <f t="shared" si="69"/>
        <v>0</v>
      </c>
      <c r="AB200" s="41">
        <f t="shared" si="70"/>
        <v>0</v>
      </c>
      <c r="AC200" s="41">
        <f t="shared" si="71"/>
        <v>0</v>
      </c>
      <c r="AD200" s="41">
        <f t="shared" si="72"/>
        <v>0</v>
      </c>
      <c r="AE200" s="41">
        <f t="shared" si="73"/>
        <v>0</v>
      </c>
      <c r="AF200" s="41">
        <f t="shared" si="74"/>
        <v>0</v>
      </c>
      <c r="AG200" s="41">
        <f t="shared" si="77"/>
        <v>0</v>
      </c>
      <c r="AH200" s="41">
        <f t="shared" si="75"/>
        <v>0</v>
      </c>
    </row>
    <row r="201" spans="2:34" ht="15" customHeight="1" x14ac:dyDescent="0.3">
      <c r="B201" s="47" t="s">
        <v>245</v>
      </c>
      <c r="C201" s="48">
        <v>586.94000000000005</v>
      </c>
      <c r="D201" s="48">
        <v>0</v>
      </c>
      <c r="E201" s="48">
        <v>0</v>
      </c>
      <c r="F201" s="48">
        <v>706.88</v>
      </c>
      <c r="G201" s="48">
        <v>120.06</v>
      </c>
      <c r="H201" s="48">
        <v>0</v>
      </c>
      <c r="I201" s="48">
        <v>0</v>
      </c>
      <c r="J201" s="49">
        <v>0</v>
      </c>
      <c r="K201" s="48">
        <f t="shared" si="78"/>
        <v>35.2164</v>
      </c>
      <c r="L201" s="48">
        <v>0</v>
      </c>
      <c r="M201" s="48">
        <f t="shared" si="79"/>
        <v>1413.88</v>
      </c>
      <c r="N201" s="41">
        <f t="shared" si="58"/>
        <v>339.33120000000002</v>
      </c>
      <c r="O201" s="41">
        <f t="shared" si="59"/>
        <v>111.93217137960001</v>
      </c>
      <c r="P201" s="41">
        <f t="shared" si="60"/>
        <v>94.258671379600003</v>
      </c>
      <c r="Q201" s="41">
        <f t="shared" si="61"/>
        <v>111.93217137960001</v>
      </c>
      <c r="R201" s="41">
        <f t="shared" si="62"/>
        <v>0</v>
      </c>
      <c r="S201" s="41">
        <f t="shared" si="63"/>
        <v>74.228700000000003</v>
      </c>
      <c r="T201" s="41">
        <f t="shared" si="64"/>
        <v>56.555200000000006</v>
      </c>
      <c r="U201" s="41">
        <f t="shared" si="65"/>
        <v>28.277600000000003</v>
      </c>
      <c r="V201" s="41">
        <f t="shared" si="76"/>
        <v>28.277600000000003</v>
      </c>
      <c r="W201" s="41">
        <f t="shared" si="66"/>
        <v>56.555200000000006</v>
      </c>
      <c r="X201" s="41">
        <f t="shared" si="67"/>
        <v>0</v>
      </c>
      <c r="Y201" s="41">
        <f t="shared" si="67"/>
        <v>0</v>
      </c>
      <c r="Z201" s="41">
        <f t="shared" si="68"/>
        <v>17.673500000000001</v>
      </c>
      <c r="AA201" s="41">
        <f t="shared" si="69"/>
        <v>0</v>
      </c>
      <c r="AB201" s="41">
        <f t="shared" si="70"/>
        <v>70.694000000000003</v>
      </c>
      <c r="AC201" s="41">
        <f t="shared" si="71"/>
        <v>70.694000000000003</v>
      </c>
      <c r="AD201" s="41">
        <f t="shared" si="72"/>
        <v>70.694000000000003</v>
      </c>
      <c r="AE201" s="41">
        <f t="shared" si="73"/>
        <v>282.77600000000001</v>
      </c>
      <c r="AF201" s="41">
        <f t="shared" si="74"/>
        <v>0</v>
      </c>
      <c r="AG201" s="41">
        <f t="shared" si="77"/>
        <v>0</v>
      </c>
      <c r="AH201" s="41">
        <f t="shared" si="75"/>
        <v>0</v>
      </c>
    </row>
    <row r="202" spans="2:34" ht="15" customHeight="1" x14ac:dyDescent="0.3">
      <c r="B202" s="47" t="s">
        <v>246</v>
      </c>
      <c r="C202" s="48">
        <v>0</v>
      </c>
      <c r="D202" s="48">
        <v>0</v>
      </c>
      <c r="E202" s="48">
        <v>0</v>
      </c>
      <c r="F202" s="48">
        <v>0</v>
      </c>
      <c r="G202" s="48">
        <v>0</v>
      </c>
      <c r="H202" s="48">
        <v>0</v>
      </c>
      <c r="I202" s="48">
        <v>0</v>
      </c>
      <c r="J202" s="49">
        <v>0</v>
      </c>
      <c r="K202" s="48">
        <f t="shared" si="78"/>
        <v>0</v>
      </c>
      <c r="L202" s="48">
        <v>0</v>
      </c>
      <c r="M202" s="48">
        <f t="shared" si="79"/>
        <v>0</v>
      </c>
      <c r="N202" s="41">
        <f t="shared" si="58"/>
        <v>0</v>
      </c>
      <c r="O202" s="41">
        <f t="shared" si="59"/>
        <v>0</v>
      </c>
      <c r="P202" s="41">
        <f t="shared" si="60"/>
        <v>0</v>
      </c>
      <c r="Q202" s="41">
        <f t="shared" si="61"/>
        <v>0</v>
      </c>
      <c r="R202" s="41">
        <f t="shared" si="62"/>
        <v>0</v>
      </c>
      <c r="S202" s="41">
        <f t="shared" si="63"/>
        <v>0</v>
      </c>
      <c r="T202" s="41">
        <f t="shared" si="64"/>
        <v>0</v>
      </c>
      <c r="U202" s="41">
        <f t="shared" si="65"/>
        <v>0</v>
      </c>
      <c r="V202" s="41">
        <f t="shared" si="76"/>
        <v>0</v>
      </c>
      <c r="W202" s="41">
        <f t="shared" si="66"/>
        <v>0</v>
      </c>
      <c r="X202" s="41">
        <f t="shared" si="67"/>
        <v>0</v>
      </c>
      <c r="Y202" s="41">
        <f t="shared" si="67"/>
        <v>0</v>
      </c>
      <c r="Z202" s="41">
        <f t="shared" si="68"/>
        <v>0</v>
      </c>
      <c r="AA202" s="41">
        <f t="shared" si="69"/>
        <v>0</v>
      </c>
      <c r="AB202" s="41">
        <f t="shared" si="70"/>
        <v>0</v>
      </c>
      <c r="AC202" s="41">
        <f t="shared" si="71"/>
        <v>0</v>
      </c>
      <c r="AD202" s="41">
        <f t="shared" si="72"/>
        <v>0</v>
      </c>
      <c r="AE202" s="41">
        <f t="shared" si="73"/>
        <v>0</v>
      </c>
      <c r="AF202" s="41">
        <f t="shared" si="74"/>
        <v>0</v>
      </c>
      <c r="AG202" s="41">
        <f t="shared" si="77"/>
        <v>0</v>
      </c>
      <c r="AH202" s="41">
        <f t="shared" si="75"/>
        <v>0</v>
      </c>
    </row>
    <row r="203" spans="2:34" ht="15" customHeight="1" x14ac:dyDescent="0.3">
      <c r="B203" s="47" t="s">
        <v>247</v>
      </c>
      <c r="C203" s="48">
        <v>0</v>
      </c>
      <c r="D203" s="48">
        <v>0</v>
      </c>
      <c r="E203" s="48">
        <v>0</v>
      </c>
      <c r="F203" s="48">
        <v>0</v>
      </c>
      <c r="G203" s="48">
        <v>0</v>
      </c>
      <c r="H203" s="48">
        <v>0</v>
      </c>
      <c r="I203" s="48">
        <v>0</v>
      </c>
      <c r="J203" s="49">
        <v>0</v>
      </c>
      <c r="K203" s="48">
        <f t="shared" si="78"/>
        <v>0</v>
      </c>
      <c r="L203" s="48">
        <v>0</v>
      </c>
      <c r="M203" s="48">
        <f t="shared" si="79"/>
        <v>0</v>
      </c>
      <c r="N203" s="41">
        <f t="shared" si="58"/>
        <v>0</v>
      </c>
      <c r="O203" s="41">
        <f t="shared" si="59"/>
        <v>0</v>
      </c>
      <c r="P203" s="41">
        <f t="shared" si="60"/>
        <v>0</v>
      </c>
      <c r="Q203" s="41">
        <f t="shared" si="61"/>
        <v>0</v>
      </c>
      <c r="R203" s="41">
        <f t="shared" si="62"/>
        <v>0</v>
      </c>
      <c r="S203" s="41">
        <f t="shared" si="63"/>
        <v>0</v>
      </c>
      <c r="T203" s="41">
        <f t="shared" si="64"/>
        <v>0</v>
      </c>
      <c r="U203" s="41">
        <f t="shared" si="65"/>
        <v>0</v>
      </c>
      <c r="V203" s="41">
        <f t="shared" si="76"/>
        <v>0</v>
      </c>
      <c r="W203" s="41">
        <f t="shared" si="66"/>
        <v>0</v>
      </c>
      <c r="X203" s="41">
        <f t="shared" si="67"/>
        <v>0</v>
      </c>
      <c r="Y203" s="41">
        <f t="shared" si="67"/>
        <v>0</v>
      </c>
      <c r="Z203" s="41">
        <f t="shared" si="68"/>
        <v>0</v>
      </c>
      <c r="AA203" s="41">
        <f t="shared" si="69"/>
        <v>0</v>
      </c>
      <c r="AB203" s="41">
        <f t="shared" si="70"/>
        <v>0</v>
      </c>
      <c r="AC203" s="41">
        <f t="shared" si="71"/>
        <v>0</v>
      </c>
      <c r="AD203" s="41">
        <f t="shared" si="72"/>
        <v>0</v>
      </c>
      <c r="AE203" s="41">
        <f t="shared" si="73"/>
        <v>0</v>
      </c>
      <c r="AF203" s="41">
        <f t="shared" si="74"/>
        <v>0</v>
      </c>
      <c r="AG203" s="41">
        <f t="shared" si="77"/>
        <v>0</v>
      </c>
      <c r="AH203" s="41">
        <f t="shared" si="75"/>
        <v>0</v>
      </c>
    </row>
    <row r="204" spans="2:34" ht="15" customHeight="1" x14ac:dyDescent="0.3">
      <c r="B204" s="47" t="s">
        <v>248</v>
      </c>
      <c r="C204" s="48"/>
      <c r="D204" s="48"/>
      <c r="E204" s="48"/>
      <c r="F204" s="48">
        <v>0</v>
      </c>
      <c r="G204" s="48">
        <v>0</v>
      </c>
      <c r="H204" s="48"/>
      <c r="I204" s="48"/>
      <c r="J204" s="49"/>
      <c r="K204" s="48">
        <f t="shared" si="78"/>
        <v>0</v>
      </c>
      <c r="L204" s="48"/>
      <c r="M204" s="48">
        <f t="shared" si="79"/>
        <v>0</v>
      </c>
      <c r="N204" s="41">
        <f t="shared" si="58"/>
        <v>0</v>
      </c>
      <c r="O204" s="41">
        <f t="shared" si="59"/>
        <v>0</v>
      </c>
      <c r="P204" s="41">
        <f t="shared" si="60"/>
        <v>0</v>
      </c>
      <c r="Q204" s="41">
        <f t="shared" si="61"/>
        <v>0</v>
      </c>
      <c r="R204" s="41">
        <f t="shared" si="62"/>
        <v>0</v>
      </c>
      <c r="S204" s="41">
        <f t="shared" si="63"/>
        <v>0</v>
      </c>
      <c r="T204" s="41">
        <f t="shared" si="64"/>
        <v>0</v>
      </c>
      <c r="U204" s="41">
        <f t="shared" si="65"/>
        <v>0</v>
      </c>
      <c r="V204" s="41">
        <f t="shared" si="76"/>
        <v>0</v>
      </c>
      <c r="W204" s="41">
        <f t="shared" si="66"/>
        <v>0</v>
      </c>
      <c r="X204" s="41">
        <f t="shared" si="67"/>
        <v>0</v>
      </c>
      <c r="Y204" s="41">
        <f t="shared" si="67"/>
        <v>0</v>
      </c>
      <c r="Z204" s="41">
        <f t="shared" si="68"/>
        <v>0</v>
      </c>
      <c r="AA204" s="41">
        <f t="shared" si="69"/>
        <v>0</v>
      </c>
      <c r="AB204" s="41">
        <f t="shared" si="70"/>
        <v>0</v>
      </c>
      <c r="AC204" s="41">
        <f t="shared" si="71"/>
        <v>0</v>
      </c>
      <c r="AD204" s="41">
        <f t="shared" si="72"/>
        <v>0</v>
      </c>
      <c r="AE204" s="41">
        <f t="shared" si="73"/>
        <v>0</v>
      </c>
      <c r="AF204" s="41">
        <f t="shared" si="74"/>
        <v>0</v>
      </c>
      <c r="AG204" s="41">
        <f t="shared" si="77"/>
        <v>0</v>
      </c>
      <c r="AH204" s="41">
        <f t="shared" si="75"/>
        <v>0</v>
      </c>
    </row>
    <row r="205" spans="2:34" ht="15" customHeight="1" x14ac:dyDescent="0.3">
      <c r="B205" s="47" t="s">
        <v>249</v>
      </c>
      <c r="C205" s="48">
        <v>952.24</v>
      </c>
      <c r="D205" s="48">
        <v>123.7</v>
      </c>
      <c r="E205" s="48">
        <v>0</v>
      </c>
      <c r="F205" s="48">
        <v>773.1</v>
      </c>
      <c r="G205" s="48">
        <v>130.1</v>
      </c>
      <c r="H205" s="48">
        <v>0</v>
      </c>
      <c r="I205" s="48">
        <v>0</v>
      </c>
      <c r="J205" s="49">
        <v>0</v>
      </c>
      <c r="K205" s="48">
        <f t="shared" si="78"/>
        <v>64.556399999999996</v>
      </c>
      <c r="L205" s="48">
        <v>0</v>
      </c>
      <c r="M205" s="48">
        <f t="shared" si="79"/>
        <v>1979.1399999999999</v>
      </c>
      <c r="N205" s="41">
        <f t="shared" ref="N205:N268" si="80">M205*$N$15</f>
        <v>474.99359999999996</v>
      </c>
      <c r="O205" s="41">
        <f t="shared" ref="O205:O268" si="81">M205*$O$15</f>
        <v>156.68192326379997</v>
      </c>
      <c r="P205" s="41">
        <f t="shared" ref="P205:P268" si="82">M205*$P$15</f>
        <v>131.94267326379997</v>
      </c>
      <c r="Q205" s="41">
        <f t="shared" ref="Q205:Q268" si="83">M205*$Q$15</f>
        <v>156.68192326379997</v>
      </c>
      <c r="R205" s="41">
        <f t="shared" ref="R205:R268" si="84">M205*$R$15</f>
        <v>0</v>
      </c>
      <c r="S205" s="41">
        <f t="shared" ref="S205:S268" si="85">M205*$S$15</f>
        <v>103.90485</v>
      </c>
      <c r="T205" s="41">
        <f t="shared" ref="T205:T268" si="86">M205*$T$15</f>
        <v>79.165599999999998</v>
      </c>
      <c r="U205" s="41">
        <f t="shared" ref="U205:U268" si="87">M205*$U$15</f>
        <v>39.582799999999999</v>
      </c>
      <c r="V205" s="41">
        <f t="shared" si="76"/>
        <v>39.582799999999999</v>
      </c>
      <c r="W205" s="41">
        <f t="shared" ref="W205:W268" si="88">M205*$W$15</f>
        <v>79.165599999999998</v>
      </c>
      <c r="X205" s="41">
        <f t="shared" ref="X205:Y268" si="89">M205*$X$15</f>
        <v>0</v>
      </c>
      <c r="Y205" s="41">
        <f t="shared" si="89"/>
        <v>0</v>
      </c>
      <c r="Z205" s="41">
        <f t="shared" ref="Z205:Z268" si="90">M205*$Z$15</f>
        <v>24.739249999999998</v>
      </c>
      <c r="AA205" s="41">
        <f t="shared" ref="AA205:AA268" si="91">M205*$AA$15</f>
        <v>0</v>
      </c>
      <c r="AB205" s="41">
        <f t="shared" ref="AB205:AB268" si="92">M205*$AB$15</f>
        <v>98.956999999999994</v>
      </c>
      <c r="AC205" s="41">
        <f t="shared" ref="AC205:AC268" si="93">M205*$AC$15</f>
        <v>98.956999999999994</v>
      </c>
      <c r="AD205" s="41">
        <f t="shared" ref="AD205:AD268" si="94">M205*$AD$15</f>
        <v>98.956999999999994</v>
      </c>
      <c r="AE205" s="41">
        <f t="shared" ref="AE205:AE268" si="95">M205*$AE$15</f>
        <v>395.82799999999997</v>
      </c>
      <c r="AF205" s="41">
        <f t="shared" ref="AF205:AF268" si="96">L205*$AH$15</f>
        <v>0</v>
      </c>
      <c r="AG205" s="41">
        <f t="shared" si="77"/>
        <v>0</v>
      </c>
      <c r="AH205" s="41">
        <f t="shared" ref="AH205:AH268" si="97">M205*$AH$15</f>
        <v>0</v>
      </c>
    </row>
    <row r="206" spans="2:34" ht="15" customHeight="1" x14ac:dyDescent="0.3">
      <c r="B206" s="47" t="s">
        <v>249</v>
      </c>
      <c r="C206" s="48">
        <v>952.24</v>
      </c>
      <c r="D206" s="48">
        <f>110.69+51.76</f>
        <v>162.44999999999999</v>
      </c>
      <c r="E206" s="48">
        <v>0</v>
      </c>
      <c r="F206" s="48">
        <v>773.1</v>
      </c>
      <c r="G206" s="48">
        <v>0</v>
      </c>
      <c r="H206" s="48">
        <v>0</v>
      </c>
      <c r="I206" s="48">
        <v>0</v>
      </c>
      <c r="J206" s="49">
        <v>0</v>
      </c>
      <c r="K206" s="48">
        <f t="shared" si="78"/>
        <v>66.881399999999999</v>
      </c>
      <c r="L206" s="48">
        <v>0</v>
      </c>
      <c r="M206" s="48">
        <f t="shared" si="79"/>
        <v>1887.79</v>
      </c>
      <c r="N206" s="41">
        <f t="shared" si="80"/>
        <v>453.06959999999998</v>
      </c>
      <c r="O206" s="41">
        <f t="shared" si="81"/>
        <v>149.45004795929998</v>
      </c>
      <c r="P206" s="41">
        <f t="shared" si="82"/>
        <v>125.85267295929999</v>
      </c>
      <c r="Q206" s="41">
        <f t="shared" si="83"/>
        <v>149.45004795929998</v>
      </c>
      <c r="R206" s="41">
        <f t="shared" si="84"/>
        <v>0</v>
      </c>
      <c r="S206" s="41">
        <f t="shared" si="85"/>
        <v>99.108975000000001</v>
      </c>
      <c r="T206" s="41">
        <f t="shared" si="86"/>
        <v>75.511600000000001</v>
      </c>
      <c r="U206" s="41">
        <f t="shared" si="87"/>
        <v>37.755800000000001</v>
      </c>
      <c r="V206" s="41">
        <f t="shared" ref="V206:V269" si="98">M206*$U$15</f>
        <v>37.755800000000001</v>
      </c>
      <c r="W206" s="41">
        <f t="shared" si="88"/>
        <v>75.511600000000001</v>
      </c>
      <c r="X206" s="41">
        <f t="shared" si="89"/>
        <v>0</v>
      </c>
      <c r="Y206" s="41">
        <f t="shared" si="89"/>
        <v>0</v>
      </c>
      <c r="Z206" s="41">
        <f t="shared" si="90"/>
        <v>23.597375</v>
      </c>
      <c r="AA206" s="41">
        <f t="shared" si="91"/>
        <v>0</v>
      </c>
      <c r="AB206" s="41">
        <f t="shared" si="92"/>
        <v>94.389499999999998</v>
      </c>
      <c r="AC206" s="41">
        <f t="shared" si="93"/>
        <v>94.389499999999998</v>
      </c>
      <c r="AD206" s="41">
        <f t="shared" si="94"/>
        <v>94.389499999999998</v>
      </c>
      <c r="AE206" s="41">
        <f t="shared" si="95"/>
        <v>377.55799999999999</v>
      </c>
      <c r="AF206" s="41">
        <f t="shared" si="96"/>
        <v>0</v>
      </c>
      <c r="AG206" s="41">
        <f t="shared" ref="AG206:AG269" si="99">M206*$AG$15</f>
        <v>0</v>
      </c>
      <c r="AH206" s="41">
        <f t="shared" si="97"/>
        <v>0</v>
      </c>
    </row>
    <row r="207" spans="2:34" ht="15" customHeight="1" x14ac:dyDescent="0.3">
      <c r="B207" s="47" t="s">
        <v>250</v>
      </c>
      <c r="C207" s="48">
        <f>753.27-32.48</f>
        <v>720.79</v>
      </c>
      <c r="D207" s="48">
        <v>0</v>
      </c>
      <c r="E207" s="48">
        <v>0</v>
      </c>
      <c r="F207" s="48">
        <v>414.82</v>
      </c>
      <c r="G207" s="48">
        <v>74.900000000000006</v>
      </c>
      <c r="H207" s="48">
        <v>0</v>
      </c>
      <c r="I207" s="48">
        <v>0</v>
      </c>
      <c r="J207" s="49">
        <v>0</v>
      </c>
      <c r="K207" s="48">
        <f t="shared" si="78"/>
        <v>43.247399999999999</v>
      </c>
      <c r="L207" s="48">
        <v>0</v>
      </c>
      <c r="M207" s="48">
        <f t="shared" si="79"/>
        <v>1210.51</v>
      </c>
      <c r="N207" s="41">
        <f t="shared" si="80"/>
        <v>290.5224</v>
      </c>
      <c r="O207" s="41">
        <f t="shared" si="81"/>
        <v>95.832045701699997</v>
      </c>
      <c r="P207" s="41">
        <f t="shared" si="82"/>
        <v>80.700670701699991</v>
      </c>
      <c r="Q207" s="41">
        <f t="shared" si="83"/>
        <v>95.832045701699997</v>
      </c>
      <c r="R207" s="41">
        <f t="shared" si="84"/>
        <v>0</v>
      </c>
      <c r="S207" s="41">
        <f t="shared" si="85"/>
        <v>63.551774999999999</v>
      </c>
      <c r="T207" s="41">
        <f t="shared" si="86"/>
        <v>48.420400000000001</v>
      </c>
      <c r="U207" s="41">
        <f t="shared" si="87"/>
        <v>24.2102</v>
      </c>
      <c r="V207" s="41">
        <f t="shared" si="98"/>
        <v>24.2102</v>
      </c>
      <c r="W207" s="41">
        <f t="shared" si="88"/>
        <v>48.420400000000001</v>
      </c>
      <c r="X207" s="41">
        <f t="shared" si="89"/>
        <v>0</v>
      </c>
      <c r="Y207" s="41">
        <f t="shared" si="89"/>
        <v>0</v>
      </c>
      <c r="Z207" s="41">
        <f t="shared" si="90"/>
        <v>15.131375</v>
      </c>
      <c r="AA207" s="41">
        <f t="shared" si="91"/>
        <v>0</v>
      </c>
      <c r="AB207" s="41">
        <f t="shared" si="92"/>
        <v>60.525500000000001</v>
      </c>
      <c r="AC207" s="41">
        <f t="shared" si="93"/>
        <v>60.525500000000001</v>
      </c>
      <c r="AD207" s="41">
        <f t="shared" si="94"/>
        <v>60.525500000000001</v>
      </c>
      <c r="AE207" s="41">
        <f t="shared" si="95"/>
        <v>242.102</v>
      </c>
      <c r="AF207" s="41">
        <f t="shared" si="96"/>
        <v>0</v>
      </c>
      <c r="AG207" s="41">
        <f t="shared" si="99"/>
        <v>0</v>
      </c>
      <c r="AH207" s="41">
        <f t="shared" si="97"/>
        <v>0</v>
      </c>
    </row>
    <row r="208" spans="2:34" ht="15" customHeight="1" x14ac:dyDescent="0.3">
      <c r="B208" s="47" t="s">
        <v>251</v>
      </c>
      <c r="C208" s="48">
        <v>646.59</v>
      </c>
      <c r="D208" s="48">
        <v>0</v>
      </c>
      <c r="E208" s="48">
        <v>0</v>
      </c>
      <c r="F208" s="48">
        <v>438.93</v>
      </c>
      <c r="G208" s="48">
        <v>74.900000000000006</v>
      </c>
      <c r="H208" s="48">
        <v>0</v>
      </c>
      <c r="I208" s="48">
        <v>0</v>
      </c>
      <c r="J208" s="49">
        <v>0</v>
      </c>
      <c r="K208" s="48">
        <f t="shared" si="78"/>
        <v>38.795400000000001</v>
      </c>
      <c r="L208" s="48">
        <v>0</v>
      </c>
      <c r="M208" s="48">
        <f t="shared" si="79"/>
        <v>1160.42</v>
      </c>
      <c r="N208" s="41">
        <f t="shared" si="80"/>
        <v>278.50080000000003</v>
      </c>
      <c r="O208" s="41">
        <f t="shared" si="81"/>
        <v>91.866587201399994</v>
      </c>
      <c r="P208" s="41">
        <f t="shared" si="82"/>
        <v>77.361337201400005</v>
      </c>
      <c r="Q208" s="41">
        <f t="shared" si="83"/>
        <v>91.866587201399994</v>
      </c>
      <c r="R208" s="41">
        <f t="shared" si="84"/>
        <v>0</v>
      </c>
      <c r="S208" s="41">
        <f t="shared" si="85"/>
        <v>60.922049999999999</v>
      </c>
      <c r="T208" s="41">
        <f t="shared" si="86"/>
        <v>46.416800000000002</v>
      </c>
      <c r="U208" s="41">
        <f t="shared" si="87"/>
        <v>23.208400000000001</v>
      </c>
      <c r="V208" s="41">
        <f t="shared" si="98"/>
        <v>23.208400000000001</v>
      </c>
      <c r="W208" s="41">
        <f t="shared" si="88"/>
        <v>46.416800000000002</v>
      </c>
      <c r="X208" s="41">
        <f t="shared" si="89"/>
        <v>0</v>
      </c>
      <c r="Y208" s="41">
        <f t="shared" si="89"/>
        <v>0</v>
      </c>
      <c r="Z208" s="41">
        <f t="shared" si="90"/>
        <v>14.505250000000002</v>
      </c>
      <c r="AA208" s="41">
        <f t="shared" si="91"/>
        <v>0</v>
      </c>
      <c r="AB208" s="41">
        <f t="shared" si="92"/>
        <v>58.021000000000008</v>
      </c>
      <c r="AC208" s="41">
        <f t="shared" si="93"/>
        <v>58.021000000000008</v>
      </c>
      <c r="AD208" s="41">
        <f t="shared" si="94"/>
        <v>58.021000000000008</v>
      </c>
      <c r="AE208" s="41">
        <f t="shared" si="95"/>
        <v>232.08400000000003</v>
      </c>
      <c r="AF208" s="41">
        <f t="shared" si="96"/>
        <v>0</v>
      </c>
      <c r="AG208" s="41">
        <f t="shared" si="99"/>
        <v>0</v>
      </c>
      <c r="AH208" s="41">
        <f t="shared" si="97"/>
        <v>0</v>
      </c>
    </row>
    <row r="209" spans="2:34" ht="15" customHeight="1" x14ac:dyDescent="0.3">
      <c r="B209" s="47" t="s">
        <v>251</v>
      </c>
      <c r="C209" s="48">
        <v>646.59</v>
      </c>
      <c r="D209" s="48">
        <v>0</v>
      </c>
      <c r="E209" s="48">
        <v>0</v>
      </c>
      <c r="F209" s="48">
        <v>438.93</v>
      </c>
      <c r="G209" s="48">
        <v>74.900000000000006</v>
      </c>
      <c r="H209" s="48">
        <v>0</v>
      </c>
      <c r="I209" s="48">
        <v>0</v>
      </c>
      <c r="J209" s="49">
        <v>0</v>
      </c>
      <c r="K209" s="48">
        <f t="shared" ref="K209:K272" si="100">(C209+D209+E209)*6%</f>
        <v>38.795400000000001</v>
      </c>
      <c r="L209" s="48">
        <v>0</v>
      </c>
      <c r="M209" s="48">
        <f t="shared" ref="M209:M272" si="101">C209+D209+E209+F209+G209+H209+J209+L209-I209</f>
        <v>1160.42</v>
      </c>
      <c r="N209" s="41">
        <f t="shared" si="80"/>
        <v>278.50080000000003</v>
      </c>
      <c r="O209" s="41">
        <f t="shared" si="81"/>
        <v>91.866587201399994</v>
      </c>
      <c r="P209" s="41">
        <f t="shared" si="82"/>
        <v>77.361337201400005</v>
      </c>
      <c r="Q209" s="41">
        <f t="shared" si="83"/>
        <v>91.866587201399994</v>
      </c>
      <c r="R209" s="41">
        <f t="shared" si="84"/>
        <v>0</v>
      </c>
      <c r="S209" s="41">
        <f t="shared" si="85"/>
        <v>60.922049999999999</v>
      </c>
      <c r="T209" s="41">
        <f t="shared" si="86"/>
        <v>46.416800000000002</v>
      </c>
      <c r="U209" s="41">
        <f t="shared" si="87"/>
        <v>23.208400000000001</v>
      </c>
      <c r="V209" s="41">
        <f t="shared" si="98"/>
        <v>23.208400000000001</v>
      </c>
      <c r="W209" s="41">
        <f t="shared" si="88"/>
        <v>46.416800000000002</v>
      </c>
      <c r="X209" s="41">
        <f t="shared" si="89"/>
        <v>0</v>
      </c>
      <c r="Y209" s="41">
        <f t="shared" si="89"/>
        <v>0</v>
      </c>
      <c r="Z209" s="41">
        <f t="shared" si="90"/>
        <v>14.505250000000002</v>
      </c>
      <c r="AA209" s="41">
        <f t="shared" si="91"/>
        <v>0</v>
      </c>
      <c r="AB209" s="41">
        <f t="shared" si="92"/>
        <v>58.021000000000008</v>
      </c>
      <c r="AC209" s="41">
        <f t="shared" si="93"/>
        <v>58.021000000000008</v>
      </c>
      <c r="AD209" s="41">
        <f t="shared" si="94"/>
        <v>58.021000000000008</v>
      </c>
      <c r="AE209" s="41">
        <f t="shared" si="95"/>
        <v>232.08400000000003</v>
      </c>
      <c r="AF209" s="41">
        <f t="shared" si="96"/>
        <v>0</v>
      </c>
      <c r="AG209" s="41">
        <f t="shared" si="99"/>
        <v>0</v>
      </c>
      <c r="AH209" s="41">
        <f t="shared" si="97"/>
        <v>0</v>
      </c>
    </row>
    <row r="210" spans="2:34" ht="15" customHeight="1" x14ac:dyDescent="0.3">
      <c r="B210" s="47" t="s">
        <v>53</v>
      </c>
      <c r="C210" s="48">
        <v>0</v>
      </c>
      <c r="D210" s="48">
        <v>0</v>
      </c>
      <c r="E210" s="48">
        <v>0</v>
      </c>
      <c r="F210" s="48">
        <v>0</v>
      </c>
      <c r="G210" s="48">
        <v>0</v>
      </c>
      <c r="H210" s="48">
        <v>0</v>
      </c>
      <c r="I210" s="48">
        <v>0</v>
      </c>
      <c r="J210" s="49">
        <v>0</v>
      </c>
      <c r="K210" s="48">
        <f t="shared" si="100"/>
        <v>0</v>
      </c>
      <c r="L210" s="48">
        <v>0</v>
      </c>
      <c r="M210" s="48">
        <f t="shared" si="101"/>
        <v>0</v>
      </c>
      <c r="N210" s="41">
        <f t="shared" si="80"/>
        <v>0</v>
      </c>
      <c r="O210" s="41">
        <f t="shared" si="81"/>
        <v>0</v>
      </c>
      <c r="P210" s="41">
        <f t="shared" si="82"/>
        <v>0</v>
      </c>
      <c r="Q210" s="41">
        <f t="shared" si="83"/>
        <v>0</v>
      </c>
      <c r="R210" s="41">
        <f t="shared" si="84"/>
        <v>0</v>
      </c>
      <c r="S210" s="41">
        <f t="shared" si="85"/>
        <v>0</v>
      </c>
      <c r="T210" s="41">
        <f t="shared" si="86"/>
        <v>0</v>
      </c>
      <c r="U210" s="41">
        <f t="shared" si="87"/>
        <v>0</v>
      </c>
      <c r="V210" s="41">
        <f t="shared" si="98"/>
        <v>0</v>
      </c>
      <c r="W210" s="41">
        <f t="shared" si="88"/>
        <v>0</v>
      </c>
      <c r="X210" s="41">
        <f t="shared" si="89"/>
        <v>0</v>
      </c>
      <c r="Y210" s="41">
        <f t="shared" si="89"/>
        <v>0</v>
      </c>
      <c r="Z210" s="41">
        <f t="shared" si="90"/>
        <v>0</v>
      </c>
      <c r="AA210" s="41">
        <f t="shared" si="91"/>
        <v>0</v>
      </c>
      <c r="AB210" s="41">
        <f t="shared" si="92"/>
        <v>0</v>
      </c>
      <c r="AC210" s="41">
        <f t="shared" si="93"/>
        <v>0</v>
      </c>
      <c r="AD210" s="41">
        <f t="shared" si="94"/>
        <v>0</v>
      </c>
      <c r="AE210" s="41">
        <f t="shared" si="95"/>
        <v>0</v>
      </c>
      <c r="AF210" s="41">
        <f t="shared" si="96"/>
        <v>0</v>
      </c>
      <c r="AG210" s="41">
        <f t="shared" si="99"/>
        <v>0</v>
      </c>
      <c r="AH210" s="41">
        <f t="shared" si="97"/>
        <v>0</v>
      </c>
    </row>
    <row r="211" spans="2:34" ht="15" customHeight="1" x14ac:dyDescent="0.3">
      <c r="B211" s="60" t="s">
        <v>252</v>
      </c>
      <c r="C211" s="48">
        <v>0</v>
      </c>
      <c r="D211" s="48">
        <v>0</v>
      </c>
      <c r="E211" s="48">
        <v>0</v>
      </c>
      <c r="F211" s="48">
        <v>1034.1300000000001</v>
      </c>
      <c r="G211" s="48">
        <v>185.29</v>
      </c>
      <c r="H211" s="48">
        <v>0</v>
      </c>
      <c r="I211" s="48">
        <v>0</v>
      </c>
      <c r="J211" s="49">
        <v>0</v>
      </c>
      <c r="K211" s="48">
        <f t="shared" si="100"/>
        <v>0</v>
      </c>
      <c r="L211" s="48">
        <v>0</v>
      </c>
      <c r="M211" s="48">
        <f t="shared" si="101"/>
        <v>1219.42</v>
      </c>
      <c r="N211" s="41">
        <f t="shared" si="80"/>
        <v>292.66079999999999</v>
      </c>
      <c r="O211" s="41">
        <f t="shared" si="81"/>
        <v>96.537420731400005</v>
      </c>
      <c r="P211" s="41">
        <f t="shared" si="82"/>
        <v>81.294670731400004</v>
      </c>
      <c r="Q211" s="41">
        <f t="shared" si="83"/>
        <v>96.537420731400005</v>
      </c>
      <c r="R211" s="41">
        <f t="shared" si="84"/>
        <v>0</v>
      </c>
      <c r="S211" s="41">
        <f t="shared" si="85"/>
        <v>64.019549999999995</v>
      </c>
      <c r="T211" s="41">
        <f t="shared" si="86"/>
        <v>48.776800000000001</v>
      </c>
      <c r="U211" s="41">
        <f t="shared" si="87"/>
        <v>24.388400000000001</v>
      </c>
      <c r="V211" s="41">
        <f t="shared" si="98"/>
        <v>24.388400000000001</v>
      </c>
      <c r="W211" s="41">
        <f t="shared" si="88"/>
        <v>48.776800000000001</v>
      </c>
      <c r="X211" s="41">
        <f t="shared" si="89"/>
        <v>0</v>
      </c>
      <c r="Y211" s="41">
        <f t="shared" si="89"/>
        <v>0</v>
      </c>
      <c r="Z211" s="41">
        <f t="shared" si="90"/>
        <v>15.242750000000001</v>
      </c>
      <c r="AA211" s="41">
        <f t="shared" si="91"/>
        <v>0</v>
      </c>
      <c r="AB211" s="41">
        <f t="shared" si="92"/>
        <v>60.971000000000004</v>
      </c>
      <c r="AC211" s="41">
        <f t="shared" si="93"/>
        <v>60.971000000000004</v>
      </c>
      <c r="AD211" s="41">
        <f t="shared" si="94"/>
        <v>60.971000000000004</v>
      </c>
      <c r="AE211" s="41">
        <f t="shared" si="95"/>
        <v>243.88400000000001</v>
      </c>
      <c r="AF211" s="41">
        <f t="shared" si="96"/>
        <v>0</v>
      </c>
      <c r="AG211" s="41">
        <f t="shared" si="99"/>
        <v>0</v>
      </c>
      <c r="AH211" s="41">
        <f t="shared" si="97"/>
        <v>0</v>
      </c>
    </row>
    <row r="212" spans="2:34" ht="15" customHeight="1" x14ac:dyDescent="0.3">
      <c r="B212" s="60" t="s">
        <v>253</v>
      </c>
      <c r="C212" s="48">
        <v>0</v>
      </c>
      <c r="D212" s="48">
        <v>0</v>
      </c>
      <c r="E212" s="48">
        <v>0</v>
      </c>
      <c r="F212" s="48">
        <v>0</v>
      </c>
      <c r="G212" s="48">
        <v>0</v>
      </c>
      <c r="H212" s="48">
        <v>0</v>
      </c>
      <c r="I212" s="48">
        <v>0</v>
      </c>
      <c r="J212" s="49">
        <v>0</v>
      </c>
      <c r="K212" s="48">
        <f t="shared" si="100"/>
        <v>0</v>
      </c>
      <c r="L212" s="48">
        <v>0</v>
      </c>
      <c r="M212" s="48">
        <f t="shared" si="101"/>
        <v>0</v>
      </c>
      <c r="N212" s="41">
        <f t="shared" si="80"/>
        <v>0</v>
      </c>
      <c r="O212" s="41">
        <f t="shared" si="81"/>
        <v>0</v>
      </c>
      <c r="P212" s="41">
        <f t="shared" si="82"/>
        <v>0</v>
      </c>
      <c r="Q212" s="41">
        <f t="shared" si="83"/>
        <v>0</v>
      </c>
      <c r="R212" s="41">
        <f t="shared" si="84"/>
        <v>0</v>
      </c>
      <c r="S212" s="41">
        <f t="shared" si="85"/>
        <v>0</v>
      </c>
      <c r="T212" s="41">
        <f t="shared" si="86"/>
        <v>0</v>
      </c>
      <c r="U212" s="41">
        <f t="shared" si="87"/>
        <v>0</v>
      </c>
      <c r="V212" s="41">
        <f t="shared" si="98"/>
        <v>0</v>
      </c>
      <c r="W212" s="41">
        <f t="shared" si="88"/>
        <v>0</v>
      </c>
      <c r="X212" s="41">
        <f t="shared" si="89"/>
        <v>0</v>
      </c>
      <c r="Y212" s="41">
        <f t="shared" si="89"/>
        <v>0</v>
      </c>
      <c r="Z212" s="41">
        <f t="shared" si="90"/>
        <v>0</v>
      </c>
      <c r="AA212" s="41">
        <f t="shared" si="91"/>
        <v>0</v>
      </c>
      <c r="AB212" s="41">
        <f t="shared" si="92"/>
        <v>0</v>
      </c>
      <c r="AC212" s="41">
        <f t="shared" si="93"/>
        <v>0</v>
      </c>
      <c r="AD212" s="41">
        <f t="shared" si="94"/>
        <v>0</v>
      </c>
      <c r="AE212" s="41">
        <f t="shared" si="95"/>
        <v>0</v>
      </c>
      <c r="AF212" s="41">
        <f t="shared" si="96"/>
        <v>0</v>
      </c>
      <c r="AG212" s="41">
        <f t="shared" si="99"/>
        <v>0</v>
      </c>
      <c r="AH212" s="41">
        <f t="shared" si="97"/>
        <v>0</v>
      </c>
    </row>
    <row r="213" spans="2:34" ht="15" customHeight="1" x14ac:dyDescent="0.3">
      <c r="B213" s="60" t="s">
        <v>254</v>
      </c>
      <c r="C213" s="48">
        <v>0</v>
      </c>
      <c r="D213" s="48">
        <v>0</v>
      </c>
      <c r="E213" s="48">
        <v>0</v>
      </c>
      <c r="F213" s="48">
        <v>0</v>
      </c>
      <c r="G213" s="48">
        <v>0</v>
      </c>
      <c r="H213" s="48">
        <v>0</v>
      </c>
      <c r="I213" s="48">
        <v>0</v>
      </c>
      <c r="J213" s="49">
        <v>0</v>
      </c>
      <c r="K213" s="48">
        <f t="shared" si="100"/>
        <v>0</v>
      </c>
      <c r="L213" s="48">
        <v>0</v>
      </c>
      <c r="M213" s="48">
        <f t="shared" si="101"/>
        <v>0</v>
      </c>
      <c r="N213" s="41">
        <f t="shared" si="80"/>
        <v>0</v>
      </c>
      <c r="O213" s="41">
        <f t="shared" si="81"/>
        <v>0</v>
      </c>
      <c r="P213" s="41">
        <f t="shared" si="82"/>
        <v>0</v>
      </c>
      <c r="Q213" s="41">
        <f t="shared" si="83"/>
        <v>0</v>
      </c>
      <c r="R213" s="41">
        <f t="shared" si="84"/>
        <v>0</v>
      </c>
      <c r="S213" s="41">
        <f t="shared" si="85"/>
        <v>0</v>
      </c>
      <c r="T213" s="41">
        <f t="shared" si="86"/>
        <v>0</v>
      </c>
      <c r="U213" s="41">
        <f t="shared" si="87"/>
        <v>0</v>
      </c>
      <c r="V213" s="41">
        <f t="shared" si="98"/>
        <v>0</v>
      </c>
      <c r="W213" s="41">
        <f t="shared" si="88"/>
        <v>0</v>
      </c>
      <c r="X213" s="41">
        <f t="shared" si="89"/>
        <v>0</v>
      </c>
      <c r="Y213" s="41">
        <f t="shared" si="89"/>
        <v>0</v>
      </c>
      <c r="Z213" s="41">
        <f t="shared" si="90"/>
        <v>0</v>
      </c>
      <c r="AA213" s="41">
        <f t="shared" si="91"/>
        <v>0</v>
      </c>
      <c r="AB213" s="41">
        <f t="shared" si="92"/>
        <v>0</v>
      </c>
      <c r="AC213" s="41">
        <f t="shared" si="93"/>
        <v>0</v>
      </c>
      <c r="AD213" s="41">
        <f t="shared" si="94"/>
        <v>0</v>
      </c>
      <c r="AE213" s="41">
        <f t="shared" si="95"/>
        <v>0</v>
      </c>
      <c r="AF213" s="41">
        <f t="shared" si="96"/>
        <v>0</v>
      </c>
      <c r="AG213" s="41">
        <f t="shared" si="99"/>
        <v>0</v>
      </c>
      <c r="AH213" s="41">
        <f t="shared" si="97"/>
        <v>0</v>
      </c>
    </row>
    <row r="214" spans="2:34" ht="15" customHeight="1" x14ac:dyDescent="0.3">
      <c r="B214" s="60" t="s">
        <v>255</v>
      </c>
      <c r="C214" s="48">
        <v>0</v>
      </c>
      <c r="D214" s="48">
        <v>0</v>
      </c>
      <c r="E214" s="48">
        <v>0</v>
      </c>
      <c r="F214" s="48">
        <v>0</v>
      </c>
      <c r="G214" s="48">
        <v>0</v>
      </c>
      <c r="H214" s="48">
        <v>0</v>
      </c>
      <c r="I214" s="48">
        <v>0</v>
      </c>
      <c r="J214" s="49">
        <v>0</v>
      </c>
      <c r="K214" s="48">
        <f t="shared" si="100"/>
        <v>0</v>
      </c>
      <c r="L214" s="48">
        <v>0</v>
      </c>
      <c r="M214" s="48">
        <f t="shared" si="101"/>
        <v>0</v>
      </c>
      <c r="N214" s="41">
        <f t="shared" si="80"/>
        <v>0</v>
      </c>
      <c r="O214" s="41">
        <f t="shared" si="81"/>
        <v>0</v>
      </c>
      <c r="P214" s="41">
        <f t="shared" si="82"/>
        <v>0</v>
      </c>
      <c r="Q214" s="41">
        <f t="shared" si="83"/>
        <v>0</v>
      </c>
      <c r="R214" s="41">
        <f t="shared" si="84"/>
        <v>0</v>
      </c>
      <c r="S214" s="41">
        <f t="shared" si="85"/>
        <v>0</v>
      </c>
      <c r="T214" s="41">
        <f t="shared" si="86"/>
        <v>0</v>
      </c>
      <c r="U214" s="41">
        <f t="shared" si="87"/>
        <v>0</v>
      </c>
      <c r="V214" s="41">
        <f t="shared" si="98"/>
        <v>0</v>
      </c>
      <c r="W214" s="41">
        <f t="shared" si="88"/>
        <v>0</v>
      </c>
      <c r="X214" s="41">
        <f t="shared" si="89"/>
        <v>0</v>
      </c>
      <c r="Y214" s="41">
        <f t="shared" si="89"/>
        <v>0</v>
      </c>
      <c r="Z214" s="41">
        <f t="shared" si="90"/>
        <v>0</v>
      </c>
      <c r="AA214" s="41">
        <f t="shared" si="91"/>
        <v>0</v>
      </c>
      <c r="AB214" s="41">
        <f t="shared" si="92"/>
        <v>0</v>
      </c>
      <c r="AC214" s="41">
        <f t="shared" si="93"/>
        <v>0</v>
      </c>
      <c r="AD214" s="41">
        <f t="shared" si="94"/>
        <v>0</v>
      </c>
      <c r="AE214" s="41">
        <f t="shared" si="95"/>
        <v>0</v>
      </c>
      <c r="AF214" s="41">
        <f t="shared" si="96"/>
        <v>0</v>
      </c>
      <c r="AG214" s="41">
        <f t="shared" si="99"/>
        <v>0</v>
      </c>
      <c r="AH214" s="41">
        <f t="shared" si="97"/>
        <v>0</v>
      </c>
    </row>
    <row r="215" spans="2:34" ht="15" customHeight="1" x14ac:dyDescent="0.3">
      <c r="B215" s="60" t="s">
        <v>256</v>
      </c>
      <c r="C215" s="48">
        <v>0</v>
      </c>
      <c r="D215" s="48">
        <v>0</v>
      </c>
      <c r="E215" s="48">
        <v>0</v>
      </c>
      <c r="F215" s="48">
        <v>0</v>
      </c>
      <c r="G215" s="48">
        <v>0</v>
      </c>
      <c r="H215" s="48">
        <v>0</v>
      </c>
      <c r="I215" s="48">
        <v>0</v>
      </c>
      <c r="J215" s="49">
        <v>0</v>
      </c>
      <c r="K215" s="48">
        <f t="shared" si="100"/>
        <v>0</v>
      </c>
      <c r="L215" s="48">
        <v>0</v>
      </c>
      <c r="M215" s="48">
        <f t="shared" si="101"/>
        <v>0</v>
      </c>
      <c r="N215" s="41">
        <f t="shared" si="80"/>
        <v>0</v>
      </c>
      <c r="O215" s="41">
        <f t="shared" si="81"/>
        <v>0</v>
      </c>
      <c r="P215" s="41">
        <f t="shared" si="82"/>
        <v>0</v>
      </c>
      <c r="Q215" s="41">
        <f t="shared" si="83"/>
        <v>0</v>
      </c>
      <c r="R215" s="41">
        <f t="shared" si="84"/>
        <v>0</v>
      </c>
      <c r="S215" s="41">
        <f t="shared" si="85"/>
        <v>0</v>
      </c>
      <c r="T215" s="41">
        <f t="shared" si="86"/>
        <v>0</v>
      </c>
      <c r="U215" s="41">
        <f t="shared" si="87"/>
        <v>0</v>
      </c>
      <c r="V215" s="41">
        <f t="shared" si="98"/>
        <v>0</v>
      </c>
      <c r="W215" s="41">
        <f t="shared" si="88"/>
        <v>0</v>
      </c>
      <c r="X215" s="41">
        <f t="shared" si="89"/>
        <v>0</v>
      </c>
      <c r="Y215" s="41">
        <f t="shared" si="89"/>
        <v>0</v>
      </c>
      <c r="Z215" s="41">
        <f t="shared" si="90"/>
        <v>0</v>
      </c>
      <c r="AA215" s="41">
        <f t="shared" si="91"/>
        <v>0</v>
      </c>
      <c r="AB215" s="41">
        <f t="shared" si="92"/>
        <v>0</v>
      </c>
      <c r="AC215" s="41">
        <f t="shared" si="93"/>
        <v>0</v>
      </c>
      <c r="AD215" s="41">
        <f t="shared" si="94"/>
        <v>0</v>
      </c>
      <c r="AE215" s="41">
        <f t="shared" si="95"/>
        <v>0</v>
      </c>
      <c r="AF215" s="41">
        <f t="shared" si="96"/>
        <v>0</v>
      </c>
      <c r="AG215" s="41">
        <f t="shared" si="99"/>
        <v>0</v>
      </c>
      <c r="AH215" s="41">
        <f t="shared" si="97"/>
        <v>0</v>
      </c>
    </row>
    <row r="216" spans="2:34" ht="15" customHeight="1" x14ac:dyDescent="0.3">
      <c r="B216" s="60" t="s">
        <v>257</v>
      </c>
      <c r="C216" s="48">
        <v>836.35</v>
      </c>
      <c r="D216" s="48">
        <v>0</v>
      </c>
      <c r="E216" s="48">
        <v>0</v>
      </c>
      <c r="F216" s="48">
        <v>438.93</v>
      </c>
      <c r="G216" s="48">
        <v>74.599999999999994</v>
      </c>
      <c r="H216" s="48">
        <v>0</v>
      </c>
      <c r="I216" s="48">
        <v>0</v>
      </c>
      <c r="J216" s="49">
        <v>0</v>
      </c>
      <c r="K216" s="48">
        <f t="shared" si="100"/>
        <v>50.180999999999997</v>
      </c>
      <c r="L216" s="48">
        <v>0</v>
      </c>
      <c r="M216" s="48">
        <f t="shared" si="101"/>
        <v>1349.8799999999999</v>
      </c>
      <c r="N216" s="41">
        <f t="shared" si="80"/>
        <v>323.97119999999995</v>
      </c>
      <c r="O216" s="41">
        <f t="shared" si="81"/>
        <v>106.86550449959998</v>
      </c>
      <c r="P216" s="41">
        <f t="shared" si="82"/>
        <v>89.992004499599986</v>
      </c>
      <c r="Q216" s="41">
        <f t="shared" si="83"/>
        <v>106.86550449959998</v>
      </c>
      <c r="R216" s="41">
        <f t="shared" si="84"/>
        <v>0</v>
      </c>
      <c r="S216" s="41">
        <f t="shared" si="85"/>
        <v>70.86869999999999</v>
      </c>
      <c r="T216" s="41">
        <f t="shared" si="86"/>
        <v>53.995199999999997</v>
      </c>
      <c r="U216" s="41">
        <f t="shared" si="87"/>
        <v>26.997599999999998</v>
      </c>
      <c r="V216" s="41">
        <f t="shared" si="98"/>
        <v>26.997599999999998</v>
      </c>
      <c r="W216" s="41">
        <f t="shared" si="88"/>
        <v>53.995199999999997</v>
      </c>
      <c r="X216" s="41">
        <f t="shared" si="89"/>
        <v>0</v>
      </c>
      <c r="Y216" s="41">
        <f t="shared" si="89"/>
        <v>0</v>
      </c>
      <c r="Z216" s="41">
        <f t="shared" si="90"/>
        <v>16.8735</v>
      </c>
      <c r="AA216" s="41">
        <f t="shared" si="91"/>
        <v>0</v>
      </c>
      <c r="AB216" s="41">
        <f t="shared" si="92"/>
        <v>67.494</v>
      </c>
      <c r="AC216" s="41">
        <f t="shared" si="93"/>
        <v>67.494</v>
      </c>
      <c r="AD216" s="41">
        <f t="shared" si="94"/>
        <v>67.494</v>
      </c>
      <c r="AE216" s="41">
        <f t="shared" si="95"/>
        <v>269.976</v>
      </c>
      <c r="AF216" s="41">
        <f t="shared" si="96"/>
        <v>0</v>
      </c>
      <c r="AG216" s="41">
        <f t="shared" si="99"/>
        <v>0</v>
      </c>
      <c r="AH216" s="41">
        <f t="shared" si="97"/>
        <v>0</v>
      </c>
    </row>
    <row r="217" spans="2:34" ht="15" customHeight="1" x14ac:dyDescent="0.3">
      <c r="B217" s="60" t="s">
        <v>258</v>
      </c>
      <c r="C217" s="48">
        <v>602.03</v>
      </c>
      <c r="D217" s="48">
        <v>0</v>
      </c>
      <c r="E217" s="48">
        <v>0</v>
      </c>
      <c r="F217" s="48">
        <v>356.76</v>
      </c>
      <c r="G217" s="48">
        <v>60.97</v>
      </c>
      <c r="H217" s="48">
        <v>0</v>
      </c>
      <c r="I217" s="48">
        <v>0</v>
      </c>
      <c r="J217" s="49">
        <v>0</v>
      </c>
      <c r="K217" s="48">
        <f t="shared" si="100"/>
        <v>36.1218</v>
      </c>
      <c r="L217" s="48">
        <v>0</v>
      </c>
      <c r="M217" s="48">
        <f t="shared" si="101"/>
        <v>1019.76</v>
      </c>
      <c r="N217" s="41">
        <f t="shared" si="80"/>
        <v>244.74239999999998</v>
      </c>
      <c r="O217" s="41">
        <f t="shared" si="81"/>
        <v>80.731003399199992</v>
      </c>
      <c r="P217" s="41">
        <f t="shared" si="82"/>
        <v>67.984003399199992</v>
      </c>
      <c r="Q217" s="41">
        <f t="shared" si="83"/>
        <v>80.731003399199992</v>
      </c>
      <c r="R217" s="41">
        <f t="shared" si="84"/>
        <v>0</v>
      </c>
      <c r="S217" s="41">
        <f t="shared" si="85"/>
        <v>53.537399999999998</v>
      </c>
      <c r="T217" s="41">
        <f t="shared" si="86"/>
        <v>40.790399999999998</v>
      </c>
      <c r="U217" s="41">
        <f t="shared" si="87"/>
        <v>20.395199999999999</v>
      </c>
      <c r="V217" s="41">
        <f t="shared" si="98"/>
        <v>20.395199999999999</v>
      </c>
      <c r="W217" s="41">
        <f t="shared" si="88"/>
        <v>40.790399999999998</v>
      </c>
      <c r="X217" s="41">
        <f t="shared" si="89"/>
        <v>0</v>
      </c>
      <c r="Y217" s="41">
        <f t="shared" si="89"/>
        <v>0</v>
      </c>
      <c r="Z217" s="41">
        <f t="shared" si="90"/>
        <v>12.747</v>
      </c>
      <c r="AA217" s="41">
        <f t="shared" si="91"/>
        <v>0</v>
      </c>
      <c r="AB217" s="41">
        <f t="shared" si="92"/>
        <v>50.988</v>
      </c>
      <c r="AC217" s="41">
        <f t="shared" si="93"/>
        <v>50.988</v>
      </c>
      <c r="AD217" s="41">
        <f t="shared" si="94"/>
        <v>50.988</v>
      </c>
      <c r="AE217" s="41">
        <f t="shared" si="95"/>
        <v>203.952</v>
      </c>
      <c r="AF217" s="41">
        <f t="shared" si="96"/>
        <v>0</v>
      </c>
      <c r="AG217" s="41">
        <f t="shared" si="99"/>
        <v>0</v>
      </c>
      <c r="AH217" s="41">
        <f t="shared" si="97"/>
        <v>0</v>
      </c>
    </row>
    <row r="218" spans="2:34" ht="15" customHeight="1" x14ac:dyDescent="0.3">
      <c r="B218" s="60" t="s">
        <v>259</v>
      </c>
      <c r="C218" s="48">
        <v>0</v>
      </c>
      <c r="D218" s="48">
        <v>0</v>
      </c>
      <c r="E218" s="48">
        <v>0</v>
      </c>
      <c r="F218" s="48">
        <v>0</v>
      </c>
      <c r="G218" s="48">
        <v>0</v>
      </c>
      <c r="H218" s="48">
        <v>0</v>
      </c>
      <c r="I218" s="48">
        <v>0</v>
      </c>
      <c r="J218" s="49">
        <v>0</v>
      </c>
      <c r="K218" s="48">
        <f t="shared" si="100"/>
        <v>0</v>
      </c>
      <c r="L218" s="48">
        <v>0</v>
      </c>
      <c r="M218" s="48">
        <f t="shared" si="101"/>
        <v>0</v>
      </c>
      <c r="N218" s="41">
        <f t="shared" si="80"/>
        <v>0</v>
      </c>
      <c r="O218" s="41">
        <f t="shared" si="81"/>
        <v>0</v>
      </c>
      <c r="P218" s="41">
        <f t="shared" si="82"/>
        <v>0</v>
      </c>
      <c r="Q218" s="41">
        <f t="shared" si="83"/>
        <v>0</v>
      </c>
      <c r="R218" s="41">
        <f t="shared" si="84"/>
        <v>0</v>
      </c>
      <c r="S218" s="41">
        <f t="shared" si="85"/>
        <v>0</v>
      </c>
      <c r="T218" s="41">
        <f t="shared" si="86"/>
        <v>0</v>
      </c>
      <c r="U218" s="41">
        <f t="shared" si="87"/>
        <v>0</v>
      </c>
      <c r="V218" s="41">
        <f t="shared" si="98"/>
        <v>0</v>
      </c>
      <c r="W218" s="41">
        <f t="shared" si="88"/>
        <v>0</v>
      </c>
      <c r="X218" s="41">
        <f t="shared" si="89"/>
        <v>0</v>
      </c>
      <c r="Y218" s="41">
        <f t="shared" si="89"/>
        <v>0</v>
      </c>
      <c r="Z218" s="41">
        <f t="shared" si="90"/>
        <v>0</v>
      </c>
      <c r="AA218" s="41">
        <f t="shared" si="91"/>
        <v>0</v>
      </c>
      <c r="AB218" s="41">
        <f t="shared" si="92"/>
        <v>0</v>
      </c>
      <c r="AC218" s="41">
        <f t="shared" si="93"/>
        <v>0</v>
      </c>
      <c r="AD218" s="41">
        <f t="shared" si="94"/>
        <v>0</v>
      </c>
      <c r="AE218" s="41">
        <f t="shared" si="95"/>
        <v>0</v>
      </c>
      <c r="AF218" s="41">
        <f t="shared" si="96"/>
        <v>0</v>
      </c>
      <c r="AG218" s="41">
        <f t="shared" si="99"/>
        <v>0</v>
      </c>
      <c r="AH218" s="41">
        <f t="shared" si="97"/>
        <v>0</v>
      </c>
    </row>
    <row r="219" spans="2:34" ht="15" customHeight="1" x14ac:dyDescent="0.3">
      <c r="B219" s="60" t="s">
        <v>260</v>
      </c>
      <c r="C219" s="48">
        <v>0</v>
      </c>
      <c r="D219" s="48">
        <v>0</v>
      </c>
      <c r="E219" s="48">
        <v>0</v>
      </c>
      <c r="F219" s="48">
        <v>0</v>
      </c>
      <c r="G219" s="48">
        <v>0</v>
      </c>
      <c r="H219" s="48">
        <v>0</v>
      </c>
      <c r="I219" s="48">
        <v>0</v>
      </c>
      <c r="J219" s="49">
        <v>0</v>
      </c>
      <c r="K219" s="48">
        <f t="shared" si="100"/>
        <v>0</v>
      </c>
      <c r="L219" s="48">
        <v>0</v>
      </c>
      <c r="M219" s="48">
        <f t="shared" si="101"/>
        <v>0</v>
      </c>
      <c r="N219" s="41">
        <f t="shared" si="80"/>
        <v>0</v>
      </c>
      <c r="O219" s="41">
        <f t="shared" si="81"/>
        <v>0</v>
      </c>
      <c r="P219" s="41">
        <f t="shared" si="82"/>
        <v>0</v>
      </c>
      <c r="Q219" s="41">
        <f t="shared" si="83"/>
        <v>0</v>
      </c>
      <c r="R219" s="41">
        <f t="shared" si="84"/>
        <v>0</v>
      </c>
      <c r="S219" s="41">
        <f t="shared" si="85"/>
        <v>0</v>
      </c>
      <c r="T219" s="41">
        <f t="shared" si="86"/>
        <v>0</v>
      </c>
      <c r="U219" s="41">
        <f t="shared" si="87"/>
        <v>0</v>
      </c>
      <c r="V219" s="41">
        <f t="shared" si="98"/>
        <v>0</v>
      </c>
      <c r="W219" s="41">
        <f t="shared" si="88"/>
        <v>0</v>
      </c>
      <c r="X219" s="41">
        <f t="shared" si="89"/>
        <v>0</v>
      </c>
      <c r="Y219" s="41">
        <f t="shared" si="89"/>
        <v>0</v>
      </c>
      <c r="Z219" s="41">
        <f t="shared" si="90"/>
        <v>0</v>
      </c>
      <c r="AA219" s="41">
        <f t="shared" si="91"/>
        <v>0</v>
      </c>
      <c r="AB219" s="41">
        <f t="shared" si="92"/>
        <v>0</v>
      </c>
      <c r="AC219" s="41">
        <f t="shared" si="93"/>
        <v>0</v>
      </c>
      <c r="AD219" s="41">
        <f t="shared" si="94"/>
        <v>0</v>
      </c>
      <c r="AE219" s="41">
        <f t="shared" si="95"/>
        <v>0</v>
      </c>
      <c r="AF219" s="41">
        <f t="shared" si="96"/>
        <v>0</v>
      </c>
      <c r="AG219" s="41">
        <f t="shared" si="99"/>
        <v>0</v>
      </c>
      <c r="AH219" s="41">
        <f t="shared" si="97"/>
        <v>0</v>
      </c>
    </row>
    <row r="220" spans="2:34" ht="15" customHeight="1" x14ac:dyDescent="0.3">
      <c r="B220" s="60" t="s">
        <v>261</v>
      </c>
      <c r="C220" s="48">
        <v>959.97</v>
      </c>
      <c r="D220" s="48">
        <v>0</v>
      </c>
      <c r="E220" s="48">
        <v>0</v>
      </c>
      <c r="F220" s="48">
        <v>471.06</v>
      </c>
      <c r="G220" s="48">
        <v>86.73</v>
      </c>
      <c r="H220" s="48">
        <v>0</v>
      </c>
      <c r="I220" s="48">
        <v>0</v>
      </c>
      <c r="J220" s="49">
        <v>0</v>
      </c>
      <c r="K220" s="48">
        <f t="shared" si="100"/>
        <v>57.598199999999999</v>
      </c>
      <c r="L220" s="48">
        <v>0</v>
      </c>
      <c r="M220" s="48">
        <f t="shared" si="101"/>
        <v>1517.76</v>
      </c>
      <c r="N220" s="41">
        <f t="shared" si="80"/>
        <v>364.26239999999996</v>
      </c>
      <c r="O220" s="41">
        <f t="shared" si="81"/>
        <v>120.15600505919998</v>
      </c>
      <c r="P220" s="41">
        <f t="shared" si="82"/>
        <v>101.18400505919999</v>
      </c>
      <c r="Q220" s="41">
        <f t="shared" si="83"/>
        <v>120.15600505919998</v>
      </c>
      <c r="R220" s="41">
        <f t="shared" si="84"/>
        <v>0</v>
      </c>
      <c r="S220" s="41">
        <f t="shared" si="85"/>
        <v>79.682400000000001</v>
      </c>
      <c r="T220" s="41">
        <f t="shared" si="86"/>
        <v>60.7104</v>
      </c>
      <c r="U220" s="41">
        <f t="shared" si="87"/>
        <v>30.3552</v>
      </c>
      <c r="V220" s="41">
        <f t="shared" si="98"/>
        <v>30.3552</v>
      </c>
      <c r="W220" s="41">
        <f t="shared" si="88"/>
        <v>60.7104</v>
      </c>
      <c r="X220" s="41">
        <f t="shared" si="89"/>
        <v>0</v>
      </c>
      <c r="Y220" s="41">
        <f t="shared" si="89"/>
        <v>0</v>
      </c>
      <c r="Z220" s="41">
        <f t="shared" si="90"/>
        <v>18.972000000000001</v>
      </c>
      <c r="AA220" s="41">
        <f t="shared" si="91"/>
        <v>0</v>
      </c>
      <c r="AB220" s="41">
        <f t="shared" si="92"/>
        <v>75.888000000000005</v>
      </c>
      <c r="AC220" s="41">
        <f t="shared" si="93"/>
        <v>75.888000000000005</v>
      </c>
      <c r="AD220" s="41">
        <f t="shared" si="94"/>
        <v>75.888000000000005</v>
      </c>
      <c r="AE220" s="41">
        <f t="shared" si="95"/>
        <v>303.55200000000002</v>
      </c>
      <c r="AF220" s="41">
        <f t="shared" si="96"/>
        <v>0</v>
      </c>
      <c r="AG220" s="41">
        <f t="shared" si="99"/>
        <v>0</v>
      </c>
      <c r="AH220" s="41">
        <f t="shared" si="97"/>
        <v>0</v>
      </c>
    </row>
    <row r="221" spans="2:34" ht="15" customHeight="1" x14ac:dyDescent="0.3">
      <c r="B221" s="60" t="s">
        <v>262</v>
      </c>
      <c r="C221" s="48">
        <v>0</v>
      </c>
      <c r="D221" s="48">
        <v>0</v>
      </c>
      <c r="E221" s="48">
        <v>0</v>
      </c>
      <c r="F221" s="48">
        <v>0</v>
      </c>
      <c r="G221" s="48">
        <v>0</v>
      </c>
      <c r="H221" s="48">
        <v>0</v>
      </c>
      <c r="I221" s="48">
        <v>0</v>
      </c>
      <c r="J221" s="49">
        <v>0</v>
      </c>
      <c r="K221" s="48">
        <f t="shared" si="100"/>
        <v>0</v>
      </c>
      <c r="L221" s="48">
        <v>0</v>
      </c>
      <c r="M221" s="48">
        <f t="shared" si="101"/>
        <v>0</v>
      </c>
      <c r="N221" s="41">
        <f t="shared" si="80"/>
        <v>0</v>
      </c>
      <c r="O221" s="41">
        <f t="shared" si="81"/>
        <v>0</v>
      </c>
      <c r="P221" s="41">
        <f t="shared" si="82"/>
        <v>0</v>
      </c>
      <c r="Q221" s="41">
        <f t="shared" si="83"/>
        <v>0</v>
      </c>
      <c r="R221" s="41">
        <f t="shared" si="84"/>
        <v>0</v>
      </c>
      <c r="S221" s="41">
        <f t="shared" si="85"/>
        <v>0</v>
      </c>
      <c r="T221" s="41">
        <f t="shared" si="86"/>
        <v>0</v>
      </c>
      <c r="U221" s="41">
        <f t="shared" si="87"/>
        <v>0</v>
      </c>
      <c r="V221" s="41">
        <f t="shared" si="98"/>
        <v>0</v>
      </c>
      <c r="W221" s="41">
        <f t="shared" si="88"/>
        <v>0</v>
      </c>
      <c r="X221" s="41">
        <f t="shared" si="89"/>
        <v>0</v>
      </c>
      <c r="Y221" s="41">
        <f t="shared" si="89"/>
        <v>0</v>
      </c>
      <c r="Z221" s="41">
        <f t="shared" si="90"/>
        <v>0</v>
      </c>
      <c r="AA221" s="41">
        <f t="shared" si="91"/>
        <v>0</v>
      </c>
      <c r="AB221" s="41">
        <f t="shared" si="92"/>
        <v>0</v>
      </c>
      <c r="AC221" s="41">
        <f t="shared" si="93"/>
        <v>0</v>
      </c>
      <c r="AD221" s="41">
        <f t="shared" si="94"/>
        <v>0</v>
      </c>
      <c r="AE221" s="41">
        <f t="shared" si="95"/>
        <v>0</v>
      </c>
      <c r="AF221" s="41">
        <f t="shared" si="96"/>
        <v>0</v>
      </c>
      <c r="AG221" s="41">
        <f t="shared" si="99"/>
        <v>0</v>
      </c>
      <c r="AH221" s="41">
        <f t="shared" si="97"/>
        <v>0</v>
      </c>
    </row>
    <row r="222" spans="2:34" ht="15" customHeight="1" x14ac:dyDescent="0.3">
      <c r="B222" s="60" t="s">
        <v>263</v>
      </c>
      <c r="C222" s="48">
        <v>0</v>
      </c>
      <c r="D222" s="48">
        <v>0</v>
      </c>
      <c r="E222" s="48">
        <v>0</v>
      </c>
      <c r="F222" s="48">
        <v>286.43</v>
      </c>
      <c r="G222" s="48">
        <v>94.27</v>
      </c>
      <c r="H222" s="48">
        <v>0</v>
      </c>
      <c r="I222" s="48">
        <v>0</v>
      </c>
      <c r="J222" s="49">
        <v>0</v>
      </c>
      <c r="K222" s="48">
        <f t="shared" si="100"/>
        <v>0</v>
      </c>
      <c r="L222" s="48">
        <v>0</v>
      </c>
      <c r="M222" s="48">
        <f t="shared" si="101"/>
        <v>380.7</v>
      </c>
      <c r="N222" s="41">
        <f t="shared" si="80"/>
        <v>91.367999999999995</v>
      </c>
      <c r="O222" s="41">
        <f t="shared" si="81"/>
        <v>30.138751268999997</v>
      </c>
      <c r="P222" s="41">
        <f t="shared" si="82"/>
        <v>25.380001268999997</v>
      </c>
      <c r="Q222" s="41">
        <f t="shared" si="83"/>
        <v>30.138751268999997</v>
      </c>
      <c r="R222" s="41">
        <f t="shared" si="84"/>
        <v>0</v>
      </c>
      <c r="S222" s="41">
        <f t="shared" si="85"/>
        <v>19.986749999999997</v>
      </c>
      <c r="T222" s="41">
        <f t="shared" si="86"/>
        <v>15.228</v>
      </c>
      <c r="U222" s="41">
        <f t="shared" si="87"/>
        <v>7.6139999999999999</v>
      </c>
      <c r="V222" s="41">
        <f t="shared" si="98"/>
        <v>7.6139999999999999</v>
      </c>
      <c r="W222" s="41">
        <f t="shared" si="88"/>
        <v>15.228</v>
      </c>
      <c r="X222" s="41">
        <f t="shared" si="89"/>
        <v>0</v>
      </c>
      <c r="Y222" s="41">
        <f t="shared" si="89"/>
        <v>0</v>
      </c>
      <c r="Z222" s="41">
        <f t="shared" si="90"/>
        <v>4.75875</v>
      </c>
      <c r="AA222" s="41">
        <f t="shared" si="91"/>
        <v>0</v>
      </c>
      <c r="AB222" s="41">
        <f t="shared" si="92"/>
        <v>19.035</v>
      </c>
      <c r="AC222" s="41">
        <f t="shared" si="93"/>
        <v>19.035</v>
      </c>
      <c r="AD222" s="41">
        <f t="shared" si="94"/>
        <v>19.035</v>
      </c>
      <c r="AE222" s="41">
        <f t="shared" si="95"/>
        <v>76.14</v>
      </c>
      <c r="AF222" s="41">
        <f t="shared" si="96"/>
        <v>0</v>
      </c>
      <c r="AG222" s="41">
        <f t="shared" si="99"/>
        <v>0</v>
      </c>
      <c r="AH222" s="41">
        <f t="shared" si="97"/>
        <v>0</v>
      </c>
    </row>
    <row r="223" spans="2:34" ht="15" customHeight="1" x14ac:dyDescent="0.3">
      <c r="B223" s="60" t="s">
        <v>264</v>
      </c>
      <c r="C223" s="48">
        <v>720.51</v>
      </c>
      <c r="D223" s="48">
        <v>0</v>
      </c>
      <c r="E223" s="48">
        <v>0</v>
      </c>
      <c r="F223" s="48">
        <v>497.25</v>
      </c>
      <c r="G223" s="48">
        <v>84.76</v>
      </c>
      <c r="H223" s="48">
        <v>0</v>
      </c>
      <c r="I223" s="48">
        <v>0</v>
      </c>
      <c r="J223" s="49">
        <v>0</v>
      </c>
      <c r="K223" s="48">
        <f t="shared" si="100"/>
        <v>43.230599999999995</v>
      </c>
      <c r="L223" s="48">
        <v>0</v>
      </c>
      <c r="M223" s="48">
        <f t="shared" si="101"/>
        <v>1302.52</v>
      </c>
      <c r="N223" s="41">
        <f t="shared" si="80"/>
        <v>312.60480000000001</v>
      </c>
      <c r="O223" s="41">
        <f t="shared" si="81"/>
        <v>103.11617100839999</v>
      </c>
      <c r="P223" s="41">
        <f t="shared" si="82"/>
        <v>86.834671008399994</v>
      </c>
      <c r="Q223" s="41">
        <f t="shared" si="83"/>
        <v>103.11617100839999</v>
      </c>
      <c r="R223" s="41">
        <f t="shared" si="84"/>
        <v>0</v>
      </c>
      <c r="S223" s="41">
        <f t="shared" si="85"/>
        <v>68.382300000000001</v>
      </c>
      <c r="T223" s="41">
        <f t="shared" si="86"/>
        <v>52.1008</v>
      </c>
      <c r="U223" s="41">
        <f t="shared" si="87"/>
        <v>26.0504</v>
      </c>
      <c r="V223" s="41">
        <f t="shared" si="98"/>
        <v>26.0504</v>
      </c>
      <c r="W223" s="41">
        <f t="shared" si="88"/>
        <v>52.1008</v>
      </c>
      <c r="X223" s="41">
        <f t="shared" si="89"/>
        <v>0</v>
      </c>
      <c r="Y223" s="41">
        <f t="shared" si="89"/>
        <v>0</v>
      </c>
      <c r="Z223" s="41">
        <f t="shared" si="90"/>
        <v>16.281500000000001</v>
      </c>
      <c r="AA223" s="41">
        <f t="shared" si="91"/>
        <v>0</v>
      </c>
      <c r="AB223" s="41">
        <f t="shared" si="92"/>
        <v>65.126000000000005</v>
      </c>
      <c r="AC223" s="41">
        <f t="shared" si="93"/>
        <v>65.126000000000005</v>
      </c>
      <c r="AD223" s="41">
        <f t="shared" si="94"/>
        <v>65.126000000000005</v>
      </c>
      <c r="AE223" s="41">
        <f t="shared" si="95"/>
        <v>260.50400000000002</v>
      </c>
      <c r="AF223" s="41">
        <f t="shared" si="96"/>
        <v>0</v>
      </c>
      <c r="AG223" s="41">
        <f t="shared" si="99"/>
        <v>0</v>
      </c>
      <c r="AH223" s="41">
        <f t="shared" si="97"/>
        <v>0</v>
      </c>
    </row>
    <row r="224" spans="2:34" ht="15" customHeight="1" x14ac:dyDescent="0.3">
      <c r="B224" s="60" t="s">
        <v>265</v>
      </c>
      <c r="C224" s="48">
        <v>0</v>
      </c>
      <c r="D224" s="48">
        <v>0</v>
      </c>
      <c r="E224" s="48">
        <v>0</v>
      </c>
      <c r="F224" s="48">
        <v>0</v>
      </c>
      <c r="G224" s="48">
        <v>0</v>
      </c>
      <c r="H224" s="48">
        <v>0</v>
      </c>
      <c r="I224" s="48">
        <v>0</v>
      </c>
      <c r="J224" s="49">
        <v>0</v>
      </c>
      <c r="K224" s="48">
        <f t="shared" si="100"/>
        <v>0</v>
      </c>
      <c r="L224" s="48">
        <v>0</v>
      </c>
      <c r="M224" s="48">
        <f t="shared" si="101"/>
        <v>0</v>
      </c>
      <c r="N224" s="41">
        <f t="shared" si="80"/>
        <v>0</v>
      </c>
      <c r="O224" s="41">
        <f t="shared" si="81"/>
        <v>0</v>
      </c>
      <c r="P224" s="41">
        <f t="shared" si="82"/>
        <v>0</v>
      </c>
      <c r="Q224" s="41">
        <f t="shared" si="83"/>
        <v>0</v>
      </c>
      <c r="R224" s="41">
        <f t="shared" si="84"/>
        <v>0</v>
      </c>
      <c r="S224" s="41">
        <f t="shared" si="85"/>
        <v>0</v>
      </c>
      <c r="T224" s="41">
        <f t="shared" si="86"/>
        <v>0</v>
      </c>
      <c r="U224" s="41">
        <f t="shared" si="87"/>
        <v>0</v>
      </c>
      <c r="V224" s="41">
        <f t="shared" si="98"/>
        <v>0</v>
      </c>
      <c r="W224" s="41">
        <f t="shared" si="88"/>
        <v>0</v>
      </c>
      <c r="X224" s="41">
        <f t="shared" si="89"/>
        <v>0</v>
      </c>
      <c r="Y224" s="41">
        <f t="shared" si="89"/>
        <v>0</v>
      </c>
      <c r="Z224" s="41">
        <f t="shared" si="90"/>
        <v>0</v>
      </c>
      <c r="AA224" s="41">
        <f t="shared" si="91"/>
        <v>0</v>
      </c>
      <c r="AB224" s="41">
        <f t="shared" si="92"/>
        <v>0</v>
      </c>
      <c r="AC224" s="41">
        <f t="shared" si="93"/>
        <v>0</v>
      </c>
      <c r="AD224" s="41">
        <f t="shared" si="94"/>
        <v>0</v>
      </c>
      <c r="AE224" s="41">
        <f t="shared" si="95"/>
        <v>0</v>
      </c>
      <c r="AF224" s="41">
        <f t="shared" si="96"/>
        <v>0</v>
      </c>
      <c r="AG224" s="41">
        <f t="shared" si="99"/>
        <v>0</v>
      </c>
      <c r="AH224" s="41">
        <f t="shared" si="97"/>
        <v>0</v>
      </c>
    </row>
    <row r="225" spans="2:34" ht="15" customHeight="1" x14ac:dyDescent="0.3">
      <c r="B225" s="60" t="s">
        <v>324</v>
      </c>
      <c r="C225" s="48">
        <v>463.55</v>
      </c>
      <c r="D225" s="48">
        <f>72.25+12.77</f>
        <v>85.02</v>
      </c>
      <c r="E225" s="48">
        <v>0</v>
      </c>
      <c r="F225" s="48">
        <v>693.44</v>
      </c>
      <c r="G225" s="48">
        <v>120.24</v>
      </c>
      <c r="H225" s="48">
        <v>0</v>
      </c>
      <c r="I225" s="48">
        <v>0</v>
      </c>
      <c r="J225" s="49">
        <v>0</v>
      </c>
      <c r="K225" s="48">
        <f t="shared" si="100"/>
        <v>32.914200000000001</v>
      </c>
      <c r="L225" s="48">
        <v>0</v>
      </c>
      <c r="M225" s="48">
        <f t="shared" si="101"/>
        <v>1362.2500000000002</v>
      </c>
      <c r="N225" s="41">
        <f t="shared" si="80"/>
        <v>326.94000000000005</v>
      </c>
      <c r="O225" s="41">
        <f t="shared" si="81"/>
        <v>107.84479620750001</v>
      </c>
      <c r="P225" s="41">
        <f t="shared" si="82"/>
        <v>90.816671207500008</v>
      </c>
      <c r="Q225" s="41">
        <f t="shared" si="83"/>
        <v>107.84479620750001</v>
      </c>
      <c r="R225" s="41">
        <f t="shared" si="84"/>
        <v>0</v>
      </c>
      <c r="S225" s="41">
        <f t="shared" si="85"/>
        <v>71.518125000000012</v>
      </c>
      <c r="T225" s="41">
        <f t="shared" si="86"/>
        <v>54.490000000000009</v>
      </c>
      <c r="U225" s="41">
        <f t="shared" si="87"/>
        <v>27.245000000000005</v>
      </c>
      <c r="V225" s="41">
        <f t="shared" si="98"/>
        <v>27.245000000000005</v>
      </c>
      <c r="W225" s="41">
        <f t="shared" si="88"/>
        <v>54.490000000000009</v>
      </c>
      <c r="X225" s="41">
        <f t="shared" si="89"/>
        <v>0</v>
      </c>
      <c r="Y225" s="41">
        <f t="shared" si="89"/>
        <v>0</v>
      </c>
      <c r="Z225" s="41">
        <f t="shared" si="90"/>
        <v>17.028125000000003</v>
      </c>
      <c r="AA225" s="41">
        <f t="shared" si="91"/>
        <v>0</v>
      </c>
      <c r="AB225" s="41">
        <f t="shared" si="92"/>
        <v>68.112500000000011</v>
      </c>
      <c r="AC225" s="41">
        <f t="shared" si="93"/>
        <v>68.112500000000011</v>
      </c>
      <c r="AD225" s="41">
        <f t="shared" si="94"/>
        <v>68.112500000000011</v>
      </c>
      <c r="AE225" s="41">
        <f t="shared" si="95"/>
        <v>272.45000000000005</v>
      </c>
      <c r="AF225" s="41">
        <f t="shared" si="96"/>
        <v>0</v>
      </c>
      <c r="AG225" s="41">
        <f t="shared" si="99"/>
        <v>0</v>
      </c>
      <c r="AH225" s="41">
        <f t="shared" si="97"/>
        <v>0</v>
      </c>
    </row>
    <row r="226" spans="2:34" ht="15" customHeight="1" x14ac:dyDescent="0.3">
      <c r="B226" s="60" t="s">
        <v>325</v>
      </c>
      <c r="C226" s="48">
        <f>428.8</f>
        <v>428.8</v>
      </c>
      <c r="D226" s="48">
        <v>0</v>
      </c>
      <c r="E226" s="48">
        <v>0</v>
      </c>
      <c r="F226" s="48">
        <v>776.76</v>
      </c>
      <c r="G226" s="48">
        <v>120.54</v>
      </c>
      <c r="H226" s="48">
        <v>0</v>
      </c>
      <c r="I226" s="48">
        <v>0</v>
      </c>
      <c r="J226" s="49">
        <v>0</v>
      </c>
      <c r="K226" s="48">
        <f t="shared" si="100"/>
        <v>25.727999999999998</v>
      </c>
      <c r="L226" s="48">
        <v>0</v>
      </c>
      <c r="M226" s="48">
        <f t="shared" si="101"/>
        <v>1326.1</v>
      </c>
      <c r="N226" s="41">
        <f t="shared" si="80"/>
        <v>318.26399999999995</v>
      </c>
      <c r="O226" s="41">
        <f t="shared" si="81"/>
        <v>104.98292108699998</v>
      </c>
      <c r="P226" s="41">
        <f t="shared" si="82"/>
        <v>88.406671086999992</v>
      </c>
      <c r="Q226" s="41">
        <f t="shared" si="83"/>
        <v>104.98292108699998</v>
      </c>
      <c r="R226" s="41">
        <f t="shared" si="84"/>
        <v>0</v>
      </c>
      <c r="S226" s="41">
        <f t="shared" si="85"/>
        <v>69.620249999999999</v>
      </c>
      <c r="T226" s="41">
        <f t="shared" si="86"/>
        <v>53.043999999999997</v>
      </c>
      <c r="U226" s="41">
        <f t="shared" si="87"/>
        <v>26.521999999999998</v>
      </c>
      <c r="V226" s="41">
        <f t="shared" si="98"/>
        <v>26.521999999999998</v>
      </c>
      <c r="W226" s="41">
        <f t="shared" si="88"/>
        <v>53.043999999999997</v>
      </c>
      <c r="X226" s="41">
        <f t="shared" si="89"/>
        <v>0</v>
      </c>
      <c r="Y226" s="41">
        <f t="shared" si="89"/>
        <v>0</v>
      </c>
      <c r="Z226" s="41">
        <f t="shared" si="90"/>
        <v>16.576249999999998</v>
      </c>
      <c r="AA226" s="41">
        <f t="shared" si="91"/>
        <v>0</v>
      </c>
      <c r="AB226" s="41">
        <f t="shared" si="92"/>
        <v>66.304999999999993</v>
      </c>
      <c r="AC226" s="41">
        <f t="shared" si="93"/>
        <v>66.304999999999993</v>
      </c>
      <c r="AD226" s="41">
        <f t="shared" si="94"/>
        <v>66.304999999999993</v>
      </c>
      <c r="AE226" s="41">
        <f t="shared" si="95"/>
        <v>265.21999999999997</v>
      </c>
      <c r="AF226" s="41">
        <f t="shared" si="96"/>
        <v>0</v>
      </c>
      <c r="AG226" s="41">
        <f t="shared" si="99"/>
        <v>0</v>
      </c>
      <c r="AH226" s="41">
        <f t="shared" si="97"/>
        <v>0</v>
      </c>
    </row>
    <row r="227" spans="2:34" ht="15" customHeight="1" x14ac:dyDescent="0.3">
      <c r="B227" s="60" t="s">
        <v>325</v>
      </c>
      <c r="C227" s="48">
        <f>428.8</f>
        <v>428.8</v>
      </c>
      <c r="D227" s="48">
        <v>0</v>
      </c>
      <c r="E227" s="48">
        <v>0</v>
      </c>
      <c r="F227" s="48">
        <v>776.76</v>
      </c>
      <c r="G227" s="48">
        <v>120.54</v>
      </c>
      <c r="H227" s="48">
        <v>0</v>
      </c>
      <c r="I227" s="48">
        <v>0</v>
      </c>
      <c r="J227" s="49">
        <v>0</v>
      </c>
      <c r="K227" s="48">
        <f t="shared" si="100"/>
        <v>25.727999999999998</v>
      </c>
      <c r="L227" s="48">
        <v>0</v>
      </c>
      <c r="M227" s="48">
        <f t="shared" si="101"/>
        <v>1326.1</v>
      </c>
      <c r="N227" s="41">
        <f t="shared" si="80"/>
        <v>318.26399999999995</v>
      </c>
      <c r="O227" s="41">
        <f t="shared" si="81"/>
        <v>104.98292108699998</v>
      </c>
      <c r="P227" s="41">
        <f t="shared" si="82"/>
        <v>88.406671086999992</v>
      </c>
      <c r="Q227" s="41">
        <f t="shared" si="83"/>
        <v>104.98292108699998</v>
      </c>
      <c r="R227" s="41">
        <f t="shared" si="84"/>
        <v>0</v>
      </c>
      <c r="S227" s="41">
        <f t="shared" si="85"/>
        <v>69.620249999999999</v>
      </c>
      <c r="T227" s="41">
        <f t="shared" si="86"/>
        <v>53.043999999999997</v>
      </c>
      <c r="U227" s="41">
        <f t="shared" si="87"/>
        <v>26.521999999999998</v>
      </c>
      <c r="V227" s="41">
        <f t="shared" si="98"/>
        <v>26.521999999999998</v>
      </c>
      <c r="W227" s="41">
        <f t="shared" si="88"/>
        <v>53.043999999999997</v>
      </c>
      <c r="X227" s="41">
        <f t="shared" si="89"/>
        <v>0</v>
      </c>
      <c r="Y227" s="41">
        <f t="shared" si="89"/>
        <v>0</v>
      </c>
      <c r="Z227" s="41">
        <f t="shared" si="90"/>
        <v>16.576249999999998</v>
      </c>
      <c r="AA227" s="41">
        <f t="shared" si="91"/>
        <v>0</v>
      </c>
      <c r="AB227" s="41">
        <f t="shared" si="92"/>
        <v>66.304999999999993</v>
      </c>
      <c r="AC227" s="41">
        <f t="shared" si="93"/>
        <v>66.304999999999993</v>
      </c>
      <c r="AD227" s="41">
        <f t="shared" si="94"/>
        <v>66.304999999999993</v>
      </c>
      <c r="AE227" s="41">
        <f t="shared" si="95"/>
        <v>265.21999999999997</v>
      </c>
      <c r="AF227" s="41">
        <f t="shared" si="96"/>
        <v>0</v>
      </c>
      <c r="AG227" s="41">
        <f t="shared" si="99"/>
        <v>0</v>
      </c>
      <c r="AH227" s="41">
        <f t="shared" si="97"/>
        <v>0</v>
      </c>
    </row>
    <row r="228" spans="2:34" ht="15" customHeight="1" x14ac:dyDescent="0.3">
      <c r="B228" s="60" t="s">
        <v>326</v>
      </c>
      <c r="C228" s="48">
        <v>691.71</v>
      </c>
      <c r="D228" s="48">
        <v>0</v>
      </c>
      <c r="E228" s="48">
        <v>0</v>
      </c>
      <c r="F228" s="48">
        <v>766.18</v>
      </c>
      <c r="G228" s="48">
        <v>118.91</v>
      </c>
      <c r="H228" s="48">
        <v>0</v>
      </c>
      <c r="I228" s="48">
        <v>0</v>
      </c>
      <c r="J228" s="49">
        <v>0</v>
      </c>
      <c r="K228" s="48">
        <f t="shared" si="100"/>
        <v>41.502600000000001</v>
      </c>
      <c r="L228" s="48">
        <v>0</v>
      </c>
      <c r="M228" s="48">
        <f t="shared" si="101"/>
        <v>1576.8</v>
      </c>
      <c r="N228" s="41">
        <f t="shared" si="80"/>
        <v>378.43199999999996</v>
      </c>
      <c r="O228" s="41">
        <f t="shared" si="81"/>
        <v>124.83000525599999</v>
      </c>
      <c r="P228" s="41">
        <f t="shared" si="82"/>
        <v>105.120005256</v>
      </c>
      <c r="Q228" s="41">
        <f t="shared" si="83"/>
        <v>124.83000525599999</v>
      </c>
      <c r="R228" s="41">
        <f t="shared" si="84"/>
        <v>0</v>
      </c>
      <c r="S228" s="41">
        <f t="shared" si="85"/>
        <v>82.781999999999996</v>
      </c>
      <c r="T228" s="41">
        <f t="shared" si="86"/>
        <v>63.072000000000003</v>
      </c>
      <c r="U228" s="41">
        <f t="shared" si="87"/>
        <v>31.536000000000001</v>
      </c>
      <c r="V228" s="41">
        <f t="shared" si="98"/>
        <v>31.536000000000001</v>
      </c>
      <c r="W228" s="41">
        <f t="shared" si="88"/>
        <v>63.072000000000003</v>
      </c>
      <c r="X228" s="41">
        <f t="shared" si="89"/>
        <v>0</v>
      </c>
      <c r="Y228" s="41">
        <f t="shared" si="89"/>
        <v>0</v>
      </c>
      <c r="Z228" s="41">
        <f t="shared" si="90"/>
        <v>19.71</v>
      </c>
      <c r="AA228" s="41">
        <f t="shared" si="91"/>
        <v>0</v>
      </c>
      <c r="AB228" s="41">
        <f t="shared" si="92"/>
        <v>78.84</v>
      </c>
      <c r="AC228" s="41">
        <f t="shared" si="93"/>
        <v>78.84</v>
      </c>
      <c r="AD228" s="41">
        <f t="shared" si="94"/>
        <v>78.84</v>
      </c>
      <c r="AE228" s="41">
        <f t="shared" si="95"/>
        <v>315.36</v>
      </c>
      <c r="AF228" s="41">
        <f t="shared" si="96"/>
        <v>0</v>
      </c>
      <c r="AG228" s="41">
        <f t="shared" si="99"/>
        <v>0</v>
      </c>
      <c r="AH228" s="41">
        <f t="shared" si="97"/>
        <v>0</v>
      </c>
    </row>
    <row r="229" spans="2:34" ht="15" customHeight="1" x14ac:dyDescent="0.3">
      <c r="B229" s="60" t="s">
        <v>326</v>
      </c>
      <c r="C229" s="48">
        <v>691.71</v>
      </c>
      <c r="D229" s="48">
        <v>0</v>
      </c>
      <c r="E229" s="48">
        <v>0</v>
      </c>
      <c r="F229" s="48">
        <v>766.18</v>
      </c>
      <c r="G229" s="48">
        <v>118.91</v>
      </c>
      <c r="H229" s="48">
        <v>0</v>
      </c>
      <c r="I229" s="48">
        <v>0</v>
      </c>
      <c r="J229" s="49">
        <v>0</v>
      </c>
      <c r="K229" s="48">
        <f t="shared" si="100"/>
        <v>41.502600000000001</v>
      </c>
      <c r="L229" s="48">
        <v>0</v>
      </c>
      <c r="M229" s="48">
        <f t="shared" si="101"/>
        <v>1576.8</v>
      </c>
      <c r="N229" s="41">
        <f t="shared" si="80"/>
        <v>378.43199999999996</v>
      </c>
      <c r="O229" s="41">
        <f t="shared" si="81"/>
        <v>124.83000525599999</v>
      </c>
      <c r="P229" s="41">
        <f t="shared" si="82"/>
        <v>105.120005256</v>
      </c>
      <c r="Q229" s="41">
        <f t="shared" si="83"/>
        <v>124.83000525599999</v>
      </c>
      <c r="R229" s="41">
        <f t="shared" si="84"/>
        <v>0</v>
      </c>
      <c r="S229" s="41">
        <f t="shared" si="85"/>
        <v>82.781999999999996</v>
      </c>
      <c r="T229" s="41">
        <f t="shared" si="86"/>
        <v>63.072000000000003</v>
      </c>
      <c r="U229" s="41">
        <f t="shared" si="87"/>
        <v>31.536000000000001</v>
      </c>
      <c r="V229" s="41">
        <f t="shared" si="98"/>
        <v>31.536000000000001</v>
      </c>
      <c r="W229" s="41">
        <f t="shared" si="88"/>
        <v>63.072000000000003</v>
      </c>
      <c r="X229" s="41">
        <f t="shared" si="89"/>
        <v>0</v>
      </c>
      <c r="Y229" s="41">
        <f t="shared" si="89"/>
        <v>0</v>
      </c>
      <c r="Z229" s="41">
        <f t="shared" si="90"/>
        <v>19.71</v>
      </c>
      <c r="AA229" s="41">
        <f t="shared" si="91"/>
        <v>0</v>
      </c>
      <c r="AB229" s="41">
        <f t="shared" si="92"/>
        <v>78.84</v>
      </c>
      <c r="AC229" s="41">
        <f t="shared" si="93"/>
        <v>78.84</v>
      </c>
      <c r="AD229" s="41">
        <f t="shared" si="94"/>
        <v>78.84</v>
      </c>
      <c r="AE229" s="41">
        <f t="shared" si="95"/>
        <v>315.36</v>
      </c>
      <c r="AF229" s="41">
        <f t="shared" si="96"/>
        <v>0</v>
      </c>
      <c r="AG229" s="41">
        <f t="shared" si="99"/>
        <v>0</v>
      </c>
      <c r="AH229" s="41">
        <f t="shared" si="97"/>
        <v>0</v>
      </c>
    </row>
    <row r="230" spans="2:34" ht="15" customHeight="1" x14ac:dyDescent="0.3">
      <c r="B230" s="60" t="s">
        <v>266</v>
      </c>
      <c r="C230" s="48">
        <v>0</v>
      </c>
      <c r="D230" s="48">
        <v>0</v>
      </c>
      <c r="E230" s="48">
        <v>0</v>
      </c>
      <c r="F230" s="48">
        <v>1860.7</v>
      </c>
      <c r="G230" s="48">
        <v>321.93</v>
      </c>
      <c r="H230" s="48">
        <v>0</v>
      </c>
      <c r="I230" s="48">
        <v>0</v>
      </c>
      <c r="J230" s="49">
        <v>0</v>
      </c>
      <c r="K230" s="48">
        <f t="shared" si="100"/>
        <v>0</v>
      </c>
      <c r="L230" s="48">
        <v>0</v>
      </c>
      <c r="M230" s="48">
        <f t="shared" si="101"/>
        <v>2182.63</v>
      </c>
      <c r="N230" s="41">
        <f t="shared" si="80"/>
        <v>523.83119999999997</v>
      </c>
      <c r="O230" s="41">
        <f t="shared" si="81"/>
        <v>172.79154894210001</v>
      </c>
      <c r="P230" s="41">
        <f t="shared" si="82"/>
        <v>145.50867394209999</v>
      </c>
      <c r="Q230" s="41">
        <f t="shared" si="83"/>
        <v>172.79154894210001</v>
      </c>
      <c r="R230" s="41">
        <f t="shared" si="84"/>
        <v>0</v>
      </c>
      <c r="S230" s="41">
        <f t="shared" si="85"/>
        <v>114.588075</v>
      </c>
      <c r="T230" s="41">
        <f t="shared" si="86"/>
        <v>87.305199999999999</v>
      </c>
      <c r="U230" s="41">
        <f t="shared" si="87"/>
        <v>43.6526</v>
      </c>
      <c r="V230" s="41">
        <f t="shared" si="98"/>
        <v>43.6526</v>
      </c>
      <c r="W230" s="41">
        <f t="shared" si="88"/>
        <v>87.305199999999999</v>
      </c>
      <c r="X230" s="41">
        <f t="shared" si="89"/>
        <v>0</v>
      </c>
      <c r="Y230" s="41">
        <f t="shared" si="89"/>
        <v>0</v>
      </c>
      <c r="Z230" s="41">
        <f t="shared" si="90"/>
        <v>27.282875000000004</v>
      </c>
      <c r="AA230" s="41">
        <f t="shared" si="91"/>
        <v>0</v>
      </c>
      <c r="AB230" s="41">
        <f t="shared" si="92"/>
        <v>109.13150000000002</v>
      </c>
      <c r="AC230" s="41">
        <f t="shared" si="93"/>
        <v>109.13150000000002</v>
      </c>
      <c r="AD230" s="41">
        <f t="shared" si="94"/>
        <v>109.13150000000002</v>
      </c>
      <c r="AE230" s="41">
        <f t="shared" si="95"/>
        <v>436.52600000000007</v>
      </c>
      <c r="AF230" s="41">
        <f t="shared" si="96"/>
        <v>0</v>
      </c>
      <c r="AG230" s="41">
        <f t="shared" si="99"/>
        <v>0</v>
      </c>
      <c r="AH230" s="41">
        <f t="shared" si="97"/>
        <v>0</v>
      </c>
    </row>
    <row r="231" spans="2:34" ht="15" customHeight="1" x14ac:dyDescent="0.3">
      <c r="B231" s="60" t="s">
        <v>267</v>
      </c>
      <c r="C231" s="48">
        <v>0</v>
      </c>
      <c r="D231" s="48">
        <v>0</v>
      </c>
      <c r="E231" s="48">
        <v>0</v>
      </c>
      <c r="F231" s="48">
        <v>0</v>
      </c>
      <c r="G231" s="48">
        <v>0</v>
      </c>
      <c r="H231" s="48">
        <v>0</v>
      </c>
      <c r="I231" s="48">
        <v>0</v>
      </c>
      <c r="J231" s="49">
        <v>0</v>
      </c>
      <c r="K231" s="48">
        <f t="shared" si="100"/>
        <v>0</v>
      </c>
      <c r="L231" s="48">
        <v>0</v>
      </c>
      <c r="M231" s="48">
        <f t="shared" si="101"/>
        <v>0</v>
      </c>
      <c r="N231" s="41">
        <f t="shared" si="80"/>
        <v>0</v>
      </c>
      <c r="O231" s="41">
        <f t="shared" si="81"/>
        <v>0</v>
      </c>
      <c r="P231" s="41">
        <f t="shared" si="82"/>
        <v>0</v>
      </c>
      <c r="Q231" s="41">
        <f t="shared" si="83"/>
        <v>0</v>
      </c>
      <c r="R231" s="41">
        <f t="shared" si="84"/>
        <v>0</v>
      </c>
      <c r="S231" s="41">
        <f t="shared" si="85"/>
        <v>0</v>
      </c>
      <c r="T231" s="41">
        <f t="shared" si="86"/>
        <v>0</v>
      </c>
      <c r="U231" s="41">
        <f t="shared" si="87"/>
        <v>0</v>
      </c>
      <c r="V231" s="41">
        <f t="shared" si="98"/>
        <v>0</v>
      </c>
      <c r="W231" s="41">
        <f t="shared" si="88"/>
        <v>0</v>
      </c>
      <c r="X231" s="41">
        <f t="shared" si="89"/>
        <v>0</v>
      </c>
      <c r="Y231" s="41">
        <f t="shared" si="89"/>
        <v>0</v>
      </c>
      <c r="Z231" s="41">
        <f t="shared" si="90"/>
        <v>0</v>
      </c>
      <c r="AA231" s="41">
        <f t="shared" si="91"/>
        <v>0</v>
      </c>
      <c r="AB231" s="41">
        <f t="shared" si="92"/>
        <v>0</v>
      </c>
      <c r="AC231" s="41">
        <f t="shared" si="93"/>
        <v>0</v>
      </c>
      <c r="AD231" s="41">
        <f t="shared" si="94"/>
        <v>0</v>
      </c>
      <c r="AE231" s="41">
        <f t="shared" si="95"/>
        <v>0</v>
      </c>
      <c r="AF231" s="41">
        <f t="shared" si="96"/>
        <v>0</v>
      </c>
      <c r="AG231" s="41">
        <f t="shared" si="99"/>
        <v>0</v>
      </c>
      <c r="AH231" s="41">
        <f t="shared" si="97"/>
        <v>0</v>
      </c>
    </row>
    <row r="232" spans="2:34" ht="15" customHeight="1" x14ac:dyDescent="0.3">
      <c r="B232" s="60" t="s">
        <v>268</v>
      </c>
      <c r="C232" s="48">
        <f>1036.88-114.03</f>
        <v>922.85000000000014</v>
      </c>
      <c r="D232" s="48">
        <v>119.86</v>
      </c>
      <c r="E232" s="48">
        <v>0</v>
      </c>
      <c r="F232" s="48">
        <v>776.76</v>
      </c>
      <c r="G232" s="48">
        <v>120.35</v>
      </c>
      <c r="H232" s="48">
        <v>0</v>
      </c>
      <c r="I232" s="48">
        <v>0</v>
      </c>
      <c r="J232" s="49">
        <v>0</v>
      </c>
      <c r="K232" s="48">
        <f t="shared" si="100"/>
        <v>62.562600000000003</v>
      </c>
      <c r="L232" s="48">
        <v>0</v>
      </c>
      <c r="M232" s="48">
        <f t="shared" si="101"/>
        <v>1939.82</v>
      </c>
      <c r="N232" s="41">
        <f t="shared" si="80"/>
        <v>465.55679999999995</v>
      </c>
      <c r="O232" s="41">
        <f t="shared" si="81"/>
        <v>153.56908979939999</v>
      </c>
      <c r="P232" s="41">
        <f t="shared" si="82"/>
        <v>129.32133979939999</v>
      </c>
      <c r="Q232" s="41">
        <f t="shared" si="83"/>
        <v>153.56908979939999</v>
      </c>
      <c r="R232" s="41">
        <f t="shared" si="84"/>
        <v>0</v>
      </c>
      <c r="S232" s="41">
        <f t="shared" si="85"/>
        <v>101.84054999999999</v>
      </c>
      <c r="T232" s="41">
        <f t="shared" si="86"/>
        <v>77.592799999999997</v>
      </c>
      <c r="U232" s="41">
        <f t="shared" si="87"/>
        <v>38.796399999999998</v>
      </c>
      <c r="V232" s="41">
        <f t="shared" si="98"/>
        <v>38.796399999999998</v>
      </c>
      <c r="W232" s="41">
        <f t="shared" si="88"/>
        <v>77.592799999999997</v>
      </c>
      <c r="X232" s="41">
        <f t="shared" si="89"/>
        <v>0</v>
      </c>
      <c r="Y232" s="41">
        <f t="shared" si="89"/>
        <v>0</v>
      </c>
      <c r="Z232" s="41">
        <f t="shared" si="90"/>
        <v>24.24775</v>
      </c>
      <c r="AA232" s="41">
        <f t="shared" si="91"/>
        <v>0</v>
      </c>
      <c r="AB232" s="41">
        <f t="shared" si="92"/>
        <v>96.991</v>
      </c>
      <c r="AC232" s="41">
        <f t="shared" si="93"/>
        <v>96.991</v>
      </c>
      <c r="AD232" s="41">
        <f t="shared" si="94"/>
        <v>96.991</v>
      </c>
      <c r="AE232" s="41">
        <f t="shared" si="95"/>
        <v>387.964</v>
      </c>
      <c r="AF232" s="41">
        <f t="shared" si="96"/>
        <v>0</v>
      </c>
      <c r="AG232" s="41">
        <f t="shared" si="99"/>
        <v>0</v>
      </c>
      <c r="AH232" s="41">
        <f t="shared" si="97"/>
        <v>0</v>
      </c>
    </row>
    <row r="233" spans="2:34" ht="15" customHeight="1" x14ac:dyDescent="0.3">
      <c r="B233" s="60" t="s">
        <v>269</v>
      </c>
      <c r="C233" s="48">
        <f>944.43-404.37-261.57</f>
        <v>278.48999999999995</v>
      </c>
      <c r="D233" s="48">
        <v>0</v>
      </c>
      <c r="E233" s="48">
        <v>0</v>
      </c>
      <c r="F233" s="48">
        <v>768.85</v>
      </c>
      <c r="G233" s="48">
        <v>119.1</v>
      </c>
      <c r="H233" s="48">
        <v>0</v>
      </c>
      <c r="I233" s="48">
        <v>0</v>
      </c>
      <c r="J233" s="49">
        <v>0</v>
      </c>
      <c r="K233" s="48">
        <f t="shared" si="100"/>
        <v>16.709399999999995</v>
      </c>
      <c r="L233" s="48">
        <v>0</v>
      </c>
      <c r="M233" s="48">
        <f t="shared" si="101"/>
        <v>1166.4399999999998</v>
      </c>
      <c r="N233" s="41">
        <f t="shared" si="80"/>
        <v>279.94559999999996</v>
      </c>
      <c r="O233" s="41">
        <f t="shared" si="81"/>
        <v>92.343170554799983</v>
      </c>
      <c r="P233" s="41">
        <f t="shared" si="82"/>
        <v>77.762670554799982</v>
      </c>
      <c r="Q233" s="41">
        <f t="shared" si="83"/>
        <v>92.343170554799983</v>
      </c>
      <c r="R233" s="41">
        <f t="shared" si="84"/>
        <v>0</v>
      </c>
      <c r="S233" s="41">
        <f t="shared" si="85"/>
        <v>61.238099999999989</v>
      </c>
      <c r="T233" s="41">
        <f t="shared" si="86"/>
        <v>46.657599999999995</v>
      </c>
      <c r="U233" s="41">
        <f t="shared" si="87"/>
        <v>23.328799999999998</v>
      </c>
      <c r="V233" s="41">
        <f t="shared" si="98"/>
        <v>23.328799999999998</v>
      </c>
      <c r="W233" s="41">
        <f t="shared" si="88"/>
        <v>46.657599999999995</v>
      </c>
      <c r="X233" s="41">
        <f t="shared" si="89"/>
        <v>0</v>
      </c>
      <c r="Y233" s="41">
        <f t="shared" si="89"/>
        <v>0</v>
      </c>
      <c r="Z233" s="41">
        <f t="shared" si="90"/>
        <v>14.580499999999999</v>
      </c>
      <c r="AA233" s="41">
        <f t="shared" si="91"/>
        <v>0</v>
      </c>
      <c r="AB233" s="41">
        <f t="shared" si="92"/>
        <v>58.321999999999996</v>
      </c>
      <c r="AC233" s="41">
        <f t="shared" si="93"/>
        <v>58.321999999999996</v>
      </c>
      <c r="AD233" s="41">
        <f t="shared" si="94"/>
        <v>58.321999999999996</v>
      </c>
      <c r="AE233" s="41">
        <f t="shared" si="95"/>
        <v>233.28799999999998</v>
      </c>
      <c r="AF233" s="41">
        <f t="shared" si="96"/>
        <v>0</v>
      </c>
      <c r="AG233" s="41">
        <f t="shared" si="99"/>
        <v>0</v>
      </c>
      <c r="AH233" s="41">
        <f t="shared" si="97"/>
        <v>0</v>
      </c>
    </row>
    <row r="234" spans="2:34" ht="15" customHeight="1" x14ac:dyDescent="0.3">
      <c r="B234" s="60" t="s">
        <v>270</v>
      </c>
      <c r="C234" s="48">
        <v>0</v>
      </c>
      <c r="D234" s="48">
        <v>0</v>
      </c>
      <c r="E234" s="48">
        <v>0</v>
      </c>
      <c r="F234" s="48">
        <v>0</v>
      </c>
      <c r="G234" s="48">
        <v>0</v>
      </c>
      <c r="H234" s="48">
        <v>0</v>
      </c>
      <c r="I234" s="48">
        <v>0</v>
      </c>
      <c r="J234" s="49">
        <v>0</v>
      </c>
      <c r="K234" s="48">
        <f t="shared" si="100"/>
        <v>0</v>
      </c>
      <c r="L234" s="48">
        <v>0</v>
      </c>
      <c r="M234" s="48">
        <f t="shared" si="101"/>
        <v>0</v>
      </c>
      <c r="N234" s="41">
        <f t="shared" si="80"/>
        <v>0</v>
      </c>
      <c r="O234" s="41">
        <f t="shared" si="81"/>
        <v>0</v>
      </c>
      <c r="P234" s="41">
        <f t="shared" si="82"/>
        <v>0</v>
      </c>
      <c r="Q234" s="41">
        <f t="shared" si="83"/>
        <v>0</v>
      </c>
      <c r="R234" s="41">
        <f t="shared" si="84"/>
        <v>0</v>
      </c>
      <c r="S234" s="41">
        <f t="shared" si="85"/>
        <v>0</v>
      </c>
      <c r="T234" s="41">
        <f t="shared" si="86"/>
        <v>0</v>
      </c>
      <c r="U234" s="41">
        <f t="shared" si="87"/>
        <v>0</v>
      </c>
      <c r="V234" s="41">
        <f t="shared" si="98"/>
        <v>0</v>
      </c>
      <c r="W234" s="41">
        <f t="shared" si="88"/>
        <v>0</v>
      </c>
      <c r="X234" s="41">
        <f t="shared" si="89"/>
        <v>0</v>
      </c>
      <c r="Y234" s="41">
        <f t="shared" si="89"/>
        <v>0</v>
      </c>
      <c r="Z234" s="41">
        <f t="shared" si="90"/>
        <v>0</v>
      </c>
      <c r="AA234" s="41">
        <f t="shared" si="91"/>
        <v>0</v>
      </c>
      <c r="AB234" s="41">
        <f t="shared" si="92"/>
        <v>0</v>
      </c>
      <c r="AC234" s="41">
        <f t="shared" si="93"/>
        <v>0</v>
      </c>
      <c r="AD234" s="41">
        <f t="shared" si="94"/>
        <v>0</v>
      </c>
      <c r="AE234" s="41">
        <f t="shared" si="95"/>
        <v>0</v>
      </c>
      <c r="AF234" s="41">
        <f t="shared" si="96"/>
        <v>0</v>
      </c>
      <c r="AG234" s="41">
        <f t="shared" si="99"/>
        <v>0</v>
      </c>
      <c r="AH234" s="41">
        <f t="shared" si="97"/>
        <v>0</v>
      </c>
    </row>
    <row r="235" spans="2:34" ht="15" customHeight="1" x14ac:dyDescent="0.3">
      <c r="B235" s="60" t="s">
        <v>271</v>
      </c>
      <c r="C235" s="48">
        <v>723.95</v>
      </c>
      <c r="D235" s="48">
        <v>0</v>
      </c>
      <c r="E235" s="48">
        <v>0</v>
      </c>
      <c r="F235" s="48">
        <v>693.93</v>
      </c>
      <c r="G235" s="48">
        <v>120.24</v>
      </c>
      <c r="H235" s="48">
        <v>0</v>
      </c>
      <c r="I235" s="48">
        <v>0</v>
      </c>
      <c r="J235" s="49">
        <v>0</v>
      </c>
      <c r="K235" s="48">
        <f t="shared" si="100"/>
        <v>43.436999999999998</v>
      </c>
      <c r="L235" s="48">
        <v>0</v>
      </c>
      <c r="M235" s="48">
        <f t="shared" si="101"/>
        <v>1538.1200000000001</v>
      </c>
      <c r="N235" s="41">
        <f t="shared" si="80"/>
        <v>369.14879999999999</v>
      </c>
      <c r="O235" s="41">
        <f t="shared" si="81"/>
        <v>121.7678384604</v>
      </c>
      <c r="P235" s="41">
        <f t="shared" si="82"/>
        <v>102.5413384604</v>
      </c>
      <c r="Q235" s="41">
        <f t="shared" si="83"/>
        <v>121.7678384604</v>
      </c>
      <c r="R235" s="41">
        <f t="shared" si="84"/>
        <v>0</v>
      </c>
      <c r="S235" s="41">
        <f t="shared" si="85"/>
        <v>80.751300000000001</v>
      </c>
      <c r="T235" s="41">
        <f t="shared" si="86"/>
        <v>61.524800000000006</v>
      </c>
      <c r="U235" s="41">
        <f t="shared" si="87"/>
        <v>30.762400000000003</v>
      </c>
      <c r="V235" s="41">
        <f t="shared" si="98"/>
        <v>30.762400000000003</v>
      </c>
      <c r="W235" s="41">
        <f t="shared" si="88"/>
        <v>61.524800000000006</v>
      </c>
      <c r="X235" s="41">
        <f t="shared" si="89"/>
        <v>0</v>
      </c>
      <c r="Y235" s="41">
        <f t="shared" si="89"/>
        <v>0</v>
      </c>
      <c r="Z235" s="41">
        <f t="shared" si="90"/>
        <v>19.226500000000001</v>
      </c>
      <c r="AA235" s="41">
        <f t="shared" si="91"/>
        <v>0</v>
      </c>
      <c r="AB235" s="41">
        <f t="shared" si="92"/>
        <v>76.906000000000006</v>
      </c>
      <c r="AC235" s="41">
        <f t="shared" si="93"/>
        <v>76.906000000000006</v>
      </c>
      <c r="AD235" s="41">
        <f t="shared" si="94"/>
        <v>76.906000000000006</v>
      </c>
      <c r="AE235" s="41">
        <f t="shared" si="95"/>
        <v>307.62400000000002</v>
      </c>
      <c r="AF235" s="41">
        <f t="shared" si="96"/>
        <v>0</v>
      </c>
      <c r="AG235" s="41">
        <f t="shared" si="99"/>
        <v>0</v>
      </c>
      <c r="AH235" s="41">
        <f t="shared" si="97"/>
        <v>0</v>
      </c>
    </row>
    <row r="236" spans="2:34" ht="15" customHeight="1" x14ac:dyDescent="0.3">
      <c r="B236" s="60" t="s">
        <v>327</v>
      </c>
      <c r="C236" s="48">
        <v>0</v>
      </c>
      <c r="D236" s="48">
        <v>0</v>
      </c>
      <c r="E236" s="48">
        <v>0</v>
      </c>
      <c r="F236" s="48">
        <v>0</v>
      </c>
      <c r="G236" s="48">
        <v>0</v>
      </c>
      <c r="H236" s="48">
        <v>0</v>
      </c>
      <c r="I236" s="48">
        <v>0</v>
      </c>
      <c r="J236" s="49">
        <v>0</v>
      </c>
      <c r="K236" s="48">
        <f t="shared" si="100"/>
        <v>0</v>
      </c>
      <c r="L236" s="48">
        <v>0</v>
      </c>
      <c r="M236" s="48">
        <f t="shared" si="101"/>
        <v>0</v>
      </c>
      <c r="N236" s="41">
        <f t="shared" si="80"/>
        <v>0</v>
      </c>
      <c r="O236" s="41">
        <f t="shared" si="81"/>
        <v>0</v>
      </c>
      <c r="P236" s="41">
        <f t="shared" si="82"/>
        <v>0</v>
      </c>
      <c r="Q236" s="41">
        <f t="shared" si="83"/>
        <v>0</v>
      </c>
      <c r="R236" s="41">
        <f t="shared" si="84"/>
        <v>0</v>
      </c>
      <c r="S236" s="41">
        <f t="shared" si="85"/>
        <v>0</v>
      </c>
      <c r="T236" s="41">
        <f t="shared" si="86"/>
        <v>0</v>
      </c>
      <c r="U236" s="41">
        <f t="shared" si="87"/>
        <v>0</v>
      </c>
      <c r="V236" s="41">
        <f t="shared" si="98"/>
        <v>0</v>
      </c>
      <c r="W236" s="41">
        <f t="shared" si="88"/>
        <v>0</v>
      </c>
      <c r="X236" s="41">
        <f t="shared" si="89"/>
        <v>0</v>
      </c>
      <c r="Y236" s="41">
        <f t="shared" si="89"/>
        <v>0</v>
      </c>
      <c r="Z236" s="41">
        <f t="shared" si="90"/>
        <v>0</v>
      </c>
      <c r="AA236" s="41">
        <f t="shared" si="91"/>
        <v>0</v>
      </c>
      <c r="AB236" s="41">
        <f t="shared" si="92"/>
        <v>0</v>
      </c>
      <c r="AC236" s="41">
        <f t="shared" si="93"/>
        <v>0</v>
      </c>
      <c r="AD236" s="41">
        <f t="shared" si="94"/>
        <v>0</v>
      </c>
      <c r="AE236" s="41">
        <f t="shared" si="95"/>
        <v>0</v>
      </c>
      <c r="AF236" s="41">
        <f t="shared" si="96"/>
        <v>0</v>
      </c>
      <c r="AG236" s="41">
        <f t="shared" si="99"/>
        <v>0</v>
      </c>
      <c r="AH236" s="41">
        <f t="shared" si="97"/>
        <v>0</v>
      </c>
    </row>
    <row r="237" spans="2:34" ht="15" customHeight="1" x14ac:dyDescent="0.3">
      <c r="B237" s="60" t="s">
        <v>328</v>
      </c>
      <c r="C237" s="48">
        <v>0</v>
      </c>
      <c r="D237" s="48">
        <v>0</v>
      </c>
      <c r="E237" s="48">
        <v>0</v>
      </c>
      <c r="F237" s="48">
        <v>0</v>
      </c>
      <c r="G237" s="48">
        <v>0</v>
      </c>
      <c r="H237" s="48">
        <v>0</v>
      </c>
      <c r="I237" s="48">
        <v>0</v>
      </c>
      <c r="J237" s="49">
        <v>0</v>
      </c>
      <c r="K237" s="48">
        <f t="shared" si="100"/>
        <v>0</v>
      </c>
      <c r="L237" s="48">
        <v>0</v>
      </c>
      <c r="M237" s="48">
        <f t="shared" si="101"/>
        <v>0</v>
      </c>
      <c r="N237" s="41">
        <f t="shared" si="80"/>
        <v>0</v>
      </c>
      <c r="O237" s="41">
        <f t="shared" si="81"/>
        <v>0</v>
      </c>
      <c r="P237" s="41">
        <f t="shared" si="82"/>
        <v>0</v>
      </c>
      <c r="Q237" s="41">
        <f t="shared" si="83"/>
        <v>0</v>
      </c>
      <c r="R237" s="41">
        <f t="shared" si="84"/>
        <v>0</v>
      </c>
      <c r="S237" s="41">
        <f t="shared" si="85"/>
        <v>0</v>
      </c>
      <c r="T237" s="41">
        <f t="shared" si="86"/>
        <v>0</v>
      </c>
      <c r="U237" s="41">
        <f t="shared" si="87"/>
        <v>0</v>
      </c>
      <c r="V237" s="41">
        <f t="shared" si="98"/>
        <v>0</v>
      </c>
      <c r="W237" s="41">
        <f t="shared" si="88"/>
        <v>0</v>
      </c>
      <c r="X237" s="41">
        <f t="shared" si="89"/>
        <v>0</v>
      </c>
      <c r="Y237" s="41">
        <f t="shared" si="89"/>
        <v>0</v>
      </c>
      <c r="Z237" s="41">
        <f t="shared" si="90"/>
        <v>0</v>
      </c>
      <c r="AA237" s="41">
        <f t="shared" si="91"/>
        <v>0</v>
      </c>
      <c r="AB237" s="41">
        <f t="shared" si="92"/>
        <v>0</v>
      </c>
      <c r="AC237" s="41">
        <f t="shared" si="93"/>
        <v>0</v>
      </c>
      <c r="AD237" s="41">
        <f t="shared" si="94"/>
        <v>0</v>
      </c>
      <c r="AE237" s="41">
        <f t="shared" si="95"/>
        <v>0</v>
      </c>
      <c r="AF237" s="41">
        <f t="shared" si="96"/>
        <v>0</v>
      </c>
      <c r="AG237" s="41">
        <f t="shared" si="99"/>
        <v>0</v>
      </c>
      <c r="AH237" s="41">
        <f t="shared" si="97"/>
        <v>0</v>
      </c>
    </row>
    <row r="238" spans="2:34" ht="15" customHeight="1" x14ac:dyDescent="0.3">
      <c r="B238" s="60" t="s">
        <v>329</v>
      </c>
      <c r="C238" s="48">
        <f>1391.79-1391.79</f>
        <v>0</v>
      </c>
      <c r="D238" s="48">
        <v>0</v>
      </c>
      <c r="E238" s="48">
        <v>0</v>
      </c>
      <c r="F238" s="48">
        <v>693.44</v>
      </c>
      <c r="G238" s="48">
        <v>120.24</v>
      </c>
      <c r="H238" s="48">
        <v>0</v>
      </c>
      <c r="I238" s="48">
        <v>0</v>
      </c>
      <c r="J238" s="49">
        <v>0</v>
      </c>
      <c r="K238" s="48">
        <f t="shared" si="100"/>
        <v>0</v>
      </c>
      <c r="L238" s="48">
        <v>0</v>
      </c>
      <c r="M238" s="48">
        <f t="shared" si="101"/>
        <v>813.68000000000006</v>
      </c>
      <c r="N238" s="41">
        <f t="shared" si="80"/>
        <v>195.28320000000002</v>
      </c>
      <c r="O238" s="41">
        <f t="shared" si="81"/>
        <v>64.416336045600005</v>
      </c>
      <c r="P238" s="41">
        <f t="shared" si="82"/>
        <v>54.245336045600006</v>
      </c>
      <c r="Q238" s="41">
        <f t="shared" si="83"/>
        <v>64.416336045600005</v>
      </c>
      <c r="R238" s="41">
        <f t="shared" si="84"/>
        <v>0</v>
      </c>
      <c r="S238" s="41">
        <f t="shared" si="85"/>
        <v>42.718200000000003</v>
      </c>
      <c r="T238" s="41">
        <f t="shared" si="86"/>
        <v>32.547200000000004</v>
      </c>
      <c r="U238" s="41">
        <f t="shared" si="87"/>
        <v>16.273600000000002</v>
      </c>
      <c r="V238" s="41">
        <f t="shared" si="98"/>
        <v>16.273600000000002</v>
      </c>
      <c r="W238" s="41">
        <f t="shared" si="88"/>
        <v>32.547200000000004</v>
      </c>
      <c r="X238" s="41">
        <f t="shared" si="89"/>
        <v>0</v>
      </c>
      <c r="Y238" s="41">
        <f t="shared" si="89"/>
        <v>0</v>
      </c>
      <c r="Z238" s="41">
        <f t="shared" si="90"/>
        <v>10.171000000000001</v>
      </c>
      <c r="AA238" s="41">
        <f t="shared" si="91"/>
        <v>0</v>
      </c>
      <c r="AB238" s="41">
        <f t="shared" si="92"/>
        <v>40.684000000000005</v>
      </c>
      <c r="AC238" s="41">
        <f t="shared" si="93"/>
        <v>40.684000000000005</v>
      </c>
      <c r="AD238" s="41">
        <f t="shared" si="94"/>
        <v>40.684000000000005</v>
      </c>
      <c r="AE238" s="41">
        <f t="shared" si="95"/>
        <v>162.73600000000002</v>
      </c>
      <c r="AF238" s="41">
        <f t="shared" si="96"/>
        <v>0</v>
      </c>
      <c r="AG238" s="41">
        <f t="shared" si="99"/>
        <v>0</v>
      </c>
      <c r="AH238" s="41">
        <f t="shared" si="97"/>
        <v>0</v>
      </c>
    </row>
    <row r="239" spans="2:34" ht="15" customHeight="1" x14ac:dyDescent="0.3">
      <c r="B239" s="60" t="s">
        <v>330</v>
      </c>
      <c r="C239" s="48">
        <v>1028.1400000000001</v>
      </c>
      <c r="D239" s="48">
        <v>0</v>
      </c>
      <c r="E239" s="48">
        <v>0</v>
      </c>
      <c r="F239" s="48">
        <v>776.76</v>
      </c>
      <c r="G239" s="48">
        <v>120.35</v>
      </c>
      <c r="H239" s="48">
        <v>0</v>
      </c>
      <c r="I239" s="48">
        <v>0</v>
      </c>
      <c r="J239" s="49">
        <v>0</v>
      </c>
      <c r="K239" s="48">
        <f t="shared" si="100"/>
        <v>61.688400000000001</v>
      </c>
      <c r="L239" s="48">
        <v>0</v>
      </c>
      <c r="M239" s="48">
        <f t="shared" si="101"/>
        <v>1925.25</v>
      </c>
      <c r="N239" s="41">
        <f t="shared" si="80"/>
        <v>462.06</v>
      </c>
      <c r="O239" s="41">
        <f t="shared" si="81"/>
        <v>152.41563141749998</v>
      </c>
      <c r="P239" s="41">
        <f t="shared" si="82"/>
        <v>128.3500064175</v>
      </c>
      <c r="Q239" s="41">
        <f t="shared" si="83"/>
        <v>152.41563141749998</v>
      </c>
      <c r="R239" s="41">
        <f t="shared" si="84"/>
        <v>0</v>
      </c>
      <c r="S239" s="41">
        <f t="shared" si="85"/>
        <v>101.075625</v>
      </c>
      <c r="T239" s="41">
        <f t="shared" si="86"/>
        <v>77.010000000000005</v>
      </c>
      <c r="U239" s="41">
        <f t="shared" si="87"/>
        <v>38.505000000000003</v>
      </c>
      <c r="V239" s="41">
        <f t="shared" si="98"/>
        <v>38.505000000000003</v>
      </c>
      <c r="W239" s="41">
        <f t="shared" si="88"/>
        <v>77.010000000000005</v>
      </c>
      <c r="X239" s="41">
        <f t="shared" si="89"/>
        <v>0</v>
      </c>
      <c r="Y239" s="41">
        <f t="shared" si="89"/>
        <v>0</v>
      </c>
      <c r="Z239" s="41">
        <f t="shared" si="90"/>
        <v>24.065625000000001</v>
      </c>
      <c r="AA239" s="41">
        <f t="shared" si="91"/>
        <v>0</v>
      </c>
      <c r="AB239" s="41">
        <f t="shared" si="92"/>
        <v>96.262500000000003</v>
      </c>
      <c r="AC239" s="41">
        <f t="shared" si="93"/>
        <v>96.262500000000003</v>
      </c>
      <c r="AD239" s="41">
        <f t="shared" si="94"/>
        <v>96.262500000000003</v>
      </c>
      <c r="AE239" s="41">
        <f t="shared" si="95"/>
        <v>385.05</v>
      </c>
      <c r="AF239" s="41">
        <f t="shared" si="96"/>
        <v>0</v>
      </c>
      <c r="AG239" s="41">
        <f t="shared" si="99"/>
        <v>0</v>
      </c>
      <c r="AH239" s="41">
        <f t="shared" si="97"/>
        <v>0</v>
      </c>
    </row>
    <row r="240" spans="2:34" ht="15" customHeight="1" x14ac:dyDescent="0.3">
      <c r="B240" s="60" t="s">
        <v>331</v>
      </c>
      <c r="C240" s="48">
        <v>497.16</v>
      </c>
      <c r="D240" s="48">
        <f>77+13.85</f>
        <v>90.85</v>
      </c>
      <c r="E240" s="48">
        <v>0</v>
      </c>
      <c r="F240" s="48">
        <v>768.85</v>
      </c>
      <c r="G240" s="48">
        <v>119.1</v>
      </c>
      <c r="H240" s="48">
        <v>0</v>
      </c>
      <c r="I240" s="48">
        <v>0</v>
      </c>
      <c r="J240" s="49">
        <v>0</v>
      </c>
      <c r="K240" s="48">
        <f t="shared" si="100"/>
        <v>35.2806</v>
      </c>
      <c r="L240" s="48">
        <v>0</v>
      </c>
      <c r="M240" s="48">
        <f t="shared" si="101"/>
        <v>1475.96</v>
      </c>
      <c r="N240" s="41">
        <f t="shared" si="80"/>
        <v>354.23039999999997</v>
      </c>
      <c r="O240" s="41">
        <f t="shared" si="81"/>
        <v>116.84683825319999</v>
      </c>
      <c r="P240" s="41">
        <f t="shared" si="82"/>
        <v>98.397338253200004</v>
      </c>
      <c r="Q240" s="41">
        <f t="shared" si="83"/>
        <v>116.84683825319999</v>
      </c>
      <c r="R240" s="41">
        <f t="shared" si="84"/>
        <v>0</v>
      </c>
      <c r="S240" s="41">
        <f t="shared" si="85"/>
        <v>77.487899999999996</v>
      </c>
      <c r="T240" s="41">
        <f t="shared" si="86"/>
        <v>59.038400000000003</v>
      </c>
      <c r="U240" s="41">
        <f t="shared" si="87"/>
        <v>29.519200000000001</v>
      </c>
      <c r="V240" s="41">
        <f t="shared" si="98"/>
        <v>29.519200000000001</v>
      </c>
      <c r="W240" s="41">
        <f t="shared" si="88"/>
        <v>59.038400000000003</v>
      </c>
      <c r="X240" s="41">
        <f t="shared" si="89"/>
        <v>0</v>
      </c>
      <c r="Y240" s="41">
        <f t="shared" si="89"/>
        <v>0</v>
      </c>
      <c r="Z240" s="41">
        <f t="shared" si="90"/>
        <v>18.4495</v>
      </c>
      <c r="AA240" s="41">
        <f t="shared" si="91"/>
        <v>0</v>
      </c>
      <c r="AB240" s="41">
        <f t="shared" si="92"/>
        <v>73.798000000000002</v>
      </c>
      <c r="AC240" s="41">
        <f t="shared" si="93"/>
        <v>73.798000000000002</v>
      </c>
      <c r="AD240" s="41">
        <f t="shared" si="94"/>
        <v>73.798000000000002</v>
      </c>
      <c r="AE240" s="41">
        <f t="shared" si="95"/>
        <v>295.19200000000001</v>
      </c>
      <c r="AF240" s="41">
        <f t="shared" si="96"/>
        <v>0</v>
      </c>
      <c r="AG240" s="41">
        <f t="shared" si="99"/>
        <v>0</v>
      </c>
      <c r="AH240" s="41">
        <f t="shared" si="97"/>
        <v>0</v>
      </c>
    </row>
    <row r="241" spans="2:34" ht="15" customHeight="1" x14ac:dyDescent="0.3">
      <c r="B241" s="60" t="s">
        <v>332</v>
      </c>
      <c r="C241" s="48">
        <v>878.9</v>
      </c>
      <c r="D241" s="48">
        <v>0</v>
      </c>
      <c r="E241" s="48">
        <v>0</v>
      </c>
      <c r="F241" s="48">
        <v>1862.09</v>
      </c>
      <c r="G241" s="48">
        <v>321.93</v>
      </c>
      <c r="H241" s="48">
        <v>0</v>
      </c>
      <c r="I241" s="48">
        <v>0</v>
      </c>
      <c r="J241" s="49">
        <v>0</v>
      </c>
      <c r="K241" s="48">
        <f t="shared" si="100"/>
        <v>52.733999999999995</v>
      </c>
      <c r="L241" s="48">
        <v>0</v>
      </c>
      <c r="M241" s="48">
        <f t="shared" si="101"/>
        <v>3062.9199999999996</v>
      </c>
      <c r="N241" s="41">
        <f t="shared" si="80"/>
        <v>735.10079999999994</v>
      </c>
      <c r="O241" s="41">
        <f t="shared" si="81"/>
        <v>242.48117687639996</v>
      </c>
      <c r="P241" s="41">
        <f t="shared" si="82"/>
        <v>204.19467687639997</v>
      </c>
      <c r="Q241" s="41">
        <f t="shared" si="83"/>
        <v>242.48117687639996</v>
      </c>
      <c r="R241" s="41">
        <f t="shared" si="84"/>
        <v>0</v>
      </c>
      <c r="S241" s="41">
        <f t="shared" si="85"/>
        <v>160.80329999999998</v>
      </c>
      <c r="T241" s="41">
        <f t="shared" si="86"/>
        <v>122.51679999999999</v>
      </c>
      <c r="U241" s="41">
        <f t="shared" si="87"/>
        <v>61.258399999999995</v>
      </c>
      <c r="V241" s="41">
        <f t="shared" si="98"/>
        <v>61.258399999999995</v>
      </c>
      <c r="W241" s="41">
        <f t="shared" si="88"/>
        <v>122.51679999999999</v>
      </c>
      <c r="X241" s="41">
        <f t="shared" si="89"/>
        <v>0</v>
      </c>
      <c r="Y241" s="41">
        <f t="shared" si="89"/>
        <v>0</v>
      </c>
      <c r="Z241" s="41">
        <f t="shared" si="90"/>
        <v>38.286499999999997</v>
      </c>
      <c r="AA241" s="41">
        <f t="shared" si="91"/>
        <v>0</v>
      </c>
      <c r="AB241" s="41">
        <f t="shared" si="92"/>
        <v>153.14599999999999</v>
      </c>
      <c r="AC241" s="41">
        <f t="shared" si="93"/>
        <v>153.14599999999999</v>
      </c>
      <c r="AD241" s="41">
        <f t="shared" si="94"/>
        <v>153.14599999999999</v>
      </c>
      <c r="AE241" s="41">
        <f t="shared" si="95"/>
        <v>612.58399999999995</v>
      </c>
      <c r="AF241" s="41">
        <f t="shared" si="96"/>
        <v>0</v>
      </c>
      <c r="AG241" s="41">
        <f t="shared" si="99"/>
        <v>0</v>
      </c>
      <c r="AH241" s="41">
        <f t="shared" si="97"/>
        <v>0</v>
      </c>
    </row>
    <row r="242" spans="2:34" ht="15" customHeight="1" x14ac:dyDescent="0.3">
      <c r="B242" s="60" t="s">
        <v>272</v>
      </c>
      <c r="C242" s="48">
        <v>647.1</v>
      </c>
      <c r="D242" s="48">
        <v>0</v>
      </c>
      <c r="E242" s="48">
        <v>0</v>
      </c>
      <c r="F242" s="48">
        <v>693.44</v>
      </c>
      <c r="G242" s="48">
        <v>120.24</v>
      </c>
      <c r="H242" s="48">
        <v>0</v>
      </c>
      <c r="I242" s="48">
        <v>0</v>
      </c>
      <c r="J242" s="49">
        <v>0</v>
      </c>
      <c r="K242" s="48">
        <f t="shared" si="100"/>
        <v>38.826000000000001</v>
      </c>
      <c r="L242" s="48">
        <v>0</v>
      </c>
      <c r="M242" s="48">
        <f t="shared" si="101"/>
        <v>1460.78</v>
      </c>
      <c r="N242" s="41">
        <f t="shared" si="80"/>
        <v>350.5872</v>
      </c>
      <c r="O242" s="41">
        <f t="shared" si="81"/>
        <v>115.64508820259999</v>
      </c>
      <c r="P242" s="41">
        <f t="shared" si="82"/>
        <v>97.385338202599996</v>
      </c>
      <c r="Q242" s="41">
        <f t="shared" si="83"/>
        <v>115.64508820259999</v>
      </c>
      <c r="R242" s="41">
        <f t="shared" si="84"/>
        <v>0</v>
      </c>
      <c r="S242" s="41">
        <f t="shared" si="85"/>
        <v>76.690950000000001</v>
      </c>
      <c r="T242" s="41">
        <f t="shared" si="86"/>
        <v>58.431199999999997</v>
      </c>
      <c r="U242" s="41">
        <f t="shared" si="87"/>
        <v>29.215599999999998</v>
      </c>
      <c r="V242" s="41">
        <f t="shared" si="98"/>
        <v>29.215599999999998</v>
      </c>
      <c r="W242" s="41">
        <f t="shared" si="88"/>
        <v>58.431199999999997</v>
      </c>
      <c r="X242" s="41">
        <f t="shared" si="89"/>
        <v>0</v>
      </c>
      <c r="Y242" s="41">
        <f t="shared" si="89"/>
        <v>0</v>
      </c>
      <c r="Z242" s="41">
        <f t="shared" si="90"/>
        <v>18.25975</v>
      </c>
      <c r="AA242" s="41">
        <f t="shared" si="91"/>
        <v>0</v>
      </c>
      <c r="AB242" s="41">
        <f t="shared" si="92"/>
        <v>73.039000000000001</v>
      </c>
      <c r="AC242" s="41">
        <f t="shared" si="93"/>
        <v>73.039000000000001</v>
      </c>
      <c r="AD242" s="41">
        <f t="shared" si="94"/>
        <v>73.039000000000001</v>
      </c>
      <c r="AE242" s="41">
        <f t="shared" si="95"/>
        <v>292.15600000000001</v>
      </c>
      <c r="AF242" s="41">
        <f t="shared" si="96"/>
        <v>0</v>
      </c>
      <c r="AG242" s="41">
        <f t="shared" si="99"/>
        <v>0</v>
      </c>
      <c r="AH242" s="41">
        <f t="shared" si="97"/>
        <v>0</v>
      </c>
    </row>
    <row r="243" spans="2:34" ht="15" customHeight="1" x14ac:dyDescent="0.3">
      <c r="B243" s="60" t="s">
        <v>273</v>
      </c>
      <c r="C243" s="48">
        <v>0</v>
      </c>
      <c r="D243" s="48">
        <v>0</v>
      </c>
      <c r="E243" s="48">
        <v>0</v>
      </c>
      <c r="F243" s="48">
        <v>0</v>
      </c>
      <c r="G243" s="48">
        <v>0</v>
      </c>
      <c r="H243" s="48">
        <v>0</v>
      </c>
      <c r="I243" s="48">
        <v>0</v>
      </c>
      <c r="J243" s="49">
        <v>0</v>
      </c>
      <c r="K243" s="48">
        <f t="shared" si="100"/>
        <v>0</v>
      </c>
      <c r="L243" s="48">
        <v>0</v>
      </c>
      <c r="M243" s="48">
        <f t="shared" si="101"/>
        <v>0</v>
      </c>
      <c r="N243" s="41">
        <f t="shared" si="80"/>
        <v>0</v>
      </c>
      <c r="O243" s="41">
        <f t="shared" si="81"/>
        <v>0</v>
      </c>
      <c r="P243" s="41">
        <f t="shared" si="82"/>
        <v>0</v>
      </c>
      <c r="Q243" s="41">
        <f t="shared" si="83"/>
        <v>0</v>
      </c>
      <c r="R243" s="41">
        <f t="shared" si="84"/>
        <v>0</v>
      </c>
      <c r="S243" s="41">
        <f t="shared" si="85"/>
        <v>0</v>
      </c>
      <c r="T243" s="41">
        <f t="shared" si="86"/>
        <v>0</v>
      </c>
      <c r="U243" s="41">
        <f t="shared" si="87"/>
        <v>0</v>
      </c>
      <c r="V243" s="41">
        <f t="shared" si="98"/>
        <v>0</v>
      </c>
      <c r="W243" s="41">
        <f t="shared" si="88"/>
        <v>0</v>
      </c>
      <c r="X243" s="41">
        <f t="shared" si="89"/>
        <v>0</v>
      </c>
      <c r="Y243" s="41">
        <f t="shared" si="89"/>
        <v>0</v>
      </c>
      <c r="Z243" s="41">
        <f t="shared" si="90"/>
        <v>0</v>
      </c>
      <c r="AA243" s="41">
        <f t="shared" si="91"/>
        <v>0</v>
      </c>
      <c r="AB243" s="41">
        <f t="shared" si="92"/>
        <v>0</v>
      </c>
      <c r="AC243" s="41">
        <f t="shared" si="93"/>
        <v>0</v>
      </c>
      <c r="AD243" s="41">
        <f t="shared" si="94"/>
        <v>0</v>
      </c>
      <c r="AE243" s="41">
        <f t="shared" si="95"/>
        <v>0</v>
      </c>
      <c r="AF243" s="41">
        <f t="shared" si="96"/>
        <v>0</v>
      </c>
      <c r="AG243" s="41">
        <f t="shared" si="99"/>
        <v>0</v>
      </c>
      <c r="AH243" s="41">
        <f t="shared" si="97"/>
        <v>0</v>
      </c>
    </row>
    <row r="244" spans="2:34" ht="15" customHeight="1" x14ac:dyDescent="0.3">
      <c r="B244" s="60" t="s">
        <v>274</v>
      </c>
      <c r="C244" s="48">
        <v>0</v>
      </c>
      <c r="D244" s="48">
        <v>0</v>
      </c>
      <c r="E244" s="48">
        <v>0</v>
      </c>
      <c r="F244" s="48">
        <v>0</v>
      </c>
      <c r="G244" s="48">
        <v>0</v>
      </c>
      <c r="H244" s="48">
        <v>0</v>
      </c>
      <c r="I244" s="48">
        <v>0</v>
      </c>
      <c r="J244" s="49">
        <v>0</v>
      </c>
      <c r="K244" s="48">
        <f t="shared" si="100"/>
        <v>0</v>
      </c>
      <c r="L244" s="48">
        <v>0</v>
      </c>
      <c r="M244" s="48">
        <f t="shared" si="101"/>
        <v>0</v>
      </c>
      <c r="N244" s="41">
        <f t="shared" si="80"/>
        <v>0</v>
      </c>
      <c r="O244" s="41">
        <f t="shared" si="81"/>
        <v>0</v>
      </c>
      <c r="P244" s="41">
        <f t="shared" si="82"/>
        <v>0</v>
      </c>
      <c r="Q244" s="41">
        <f t="shared" si="83"/>
        <v>0</v>
      </c>
      <c r="R244" s="41">
        <f t="shared" si="84"/>
        <v>0</v>
      </c>
      <c r="S244" s="41">
        <f t="shared" si="85"/>
        <v>0</v>
      </c>
      <c r="T244" s="41">
        <f t="shared" si="86"/>
        <v>0</v>
      </c>
      <c r="U244" s="41">
        <f t="shared" si="87"/>
        <v>0</v>
      </c>
      <c r="V244" s="41">
        <f t="shared" si="98"/>
        <v>0</v>
      </c>
      <c r="W244" s="41">
        <f t="shared" si="88"/>
        <v>0</v>
      </c>
      <c r="X244" s="41">
        <f t="shared" si="89"/>
        <v>0</v>
      </c>
      <c r="Y244" s="41">
        <f t="shared" si="89"/>
        <v>0</v>
      </c>
      <c r="Z244" s="41">
        <f t="shared" si="90"/>
        <v>0</v>
      </c>
      <c r="AA244" s="41">
        <f t="shared" si="91"/>
        <v>0</v>
      </c>
      <c r="AB244" s="41">
        <f t="shared" si="92"/>
        <v>0</v>
      </c>
      <c r="AC244" s="41">
        <f t="shared" si="93"/>
        <v>0</v>
      </c>
      <c r="AD244" s="41">
        <f t="shared" si="94"/>
        <v>0</v>
      </c>
      <c r="AE244" s="41">
        <f t="shared" si="95"/>
        <v>0</v>
      </c>
      <c r="AF244" s="41">
        <f t="shared" si="96"/>
        <v>0</v>
      </c>
      <c r="AG244" s="41">
        <f t="shared" si="99"/>
        <v>0</v>
      </c>
      <c r="AH244" s="41">
        <f t="shared" si="97"/>
        <v>0</v>
      </c>
    </row>
    <row r="245" spans="2:34" ht="15" customHeight="1" x14ac:dyDescent="0.3">
      <c r="B245" s="60" t="s">
        <v>275</v>
      </c>
      <c r="C245" s="48">
        <v>0</v>
      </c>
      <c r="D245" s="48">
        <v>0</v>
      </c>
      <c r="E245" s="48">
        <v>0</v>
      </c>
      <c r="F245" s="48">
        <v>0</v>
      </c>
      <c r="G245" s="48">
        <v>0</v>
      </c>
      <c r="H245" s="48">
        <v>0</v>
      </c>
      <c r="I245" s="48">
        <v>0</v>
      </c>
      <c r="J245" s="49">
        <v>0</v>
      </c>
      <c r="K245" s="48">
        <f t="shared" si="100"/>
        <v>0</v>
      </c>
      <c r="L245" s="48">
        <v>0</v>
      </c>
      <c r="M245" s="48">
        <f t="shared" si="101"/>
        <v>0</v>
      </c>
      <c r="N245" s="41">
        <f t="shared" si="80"/>
        <v>0</v>
      </c>
      <c r="O245" s="41">
        <f t="shared" si="81"/>
        <v>0</v>
      </c>
      <c r="P245" s="41">
        <f t="shared" si="82"/>
        <v>0</v>
      </c>
      <c r="Q245" s="41">
        <f t="shared" si="83"/>
        <v>0</v>
      </c>
      <c r="R245" s="41">
        <f t="shared" si="84"/>
        <v>0</v>
      </c>
      <c r="S245" s="41">
        <f t="shared" si="85"/>
        <v>0</v>
      </c>
      <c r="T245" s="41">
        <f t="shared" si="86"/>
        <v>0</v>
      </c>
      <c r="U245" s="41">
        <f t="shared" si="87"/>
        <v>0</v>
      </c>
      <c r="V245" s="41">
        <f t="shared" si="98"/>
        <v>0</v>
      </c>
      <c r="W245" s="41">
        <f t="shared" si="88"/>
        <v>0</v>
      </c>
      <c r="X245" s="41">
        <f t="shared" si="89"/>
        <v>0</v>
      </c>
      <c r="Y245" s="41">
        <f t="shared" si="89"/>
        <v>0</v>
      </c>
      <c r="Z245" s="41">
        <f t="shared" si="90"/>
        <v>0</v>
      </c>
      <c r="AA245" s="41">
        <f t="shared" si="91"/>
        <v>0</v>
      </c>
      <c r="AB245" s="41">
        <f t="shared" si="92"/>
        <v>0</v>
      </c>
      <c r="AC245" s="41">
        <f t="shared" si="93"/>
        <v>0</v>
      </c>
      <c r="AD245" s="41">
        <f t="shared" si="94"/>
        <v>0</v>
      </c>
      <c r="AE245" s="41">
        <f t="shared" si="95"/>
        <v>0</v>
      </c>
      <c r="AF245" s="41">
        <f t="shared" si="96"/>
        <v>0</v>
      </c>
      <c r="AG245" s="41">
        <f t="shared" si="99"/>
        <v>0</v>
      </c>
      <c r="AH245" s="41">
        <f t="shared" si="97"/>
        <v>0</v>
      </c>
    </row>
    <row r="246" spans="2:34" ht="15" customHeight="1" x14ac:dyDescent="0.3">
      <c r="B246" s="60" t="s">
        <v>111</v>
      </c>
      <c r="C246" s="48">
        <v>486.1</v>
      </c>
      <c r="D246" s="48">
        <v>0</v>
      </c>
      <c r="E246" s="48">
        <v>0</v>
      </c>
      <c r="F246" s="48">
        <v>693.44</v>
      </c>
      <c r="G246" s="48">
        <v>120.24</v>
      </c>
      <c r="H246" s="48">
        <v>0</v>
      </c>
      <c r="I246" s="48">
        <v>0</v>
      </c>
      <c r="J246" s="49">
        <v>0</v>
      </c>
      <c r="K246" s="48">
        <f t="shared" si="100"/>
        <v>29.166</v>
      </c>
      <c r="L246" s="48">
        <v>0</v>
      </c>
      <c r="M246" s="48">
        <f t="shared" si="101"/>
        <v>1299.78</v>
      </c>
      <c r="N246" s="41">
        <f t="shared" si="80"/>
        <v>311.94720000000001</v>
      </c>
      <c r="O246" s="41">
        <f t="shared" si="81"/>
        <v>102.89925433259999</v>
      </c>
      <c r="P246" s="41">
        <f t="shared" si="82"/>
        <v>86.652004332600001</v>
      </c>
      <c r="Q246" s="41">
        <f t="shared" si="83"/>
        <v>102.89925433259999</v>
      </c>
      <c r="R246" s="41">
        <f t="shared" si="84"/>
        <v>0</v>
      </c>
      <c r="S246" s="41">
        <f t="shared" si="85"/>
        <v>68.23845</v>
      </c>
      <c r="T246" s="41">
        <f t="shared" si="86"/>
        <v>51.991199999999999</v>
      </c>
      <c r="U246" s="41">
        <f t="shared" si="87"/>
        <v>25.9956</v>
      </c>
      <c r="V246" s="41">
        <f t="shared" si="98"/>
        <v>25.9956</v>
      </c>
      <c r="W246" s="41">
        <f t="shared" si="88"/>
        <v>51.991199999999999</v>
      </c>
      <c r="X246" s="41">
        <f t="shared" si="89"/>
        <v>0</v>
      </c>
      <c r="Y246" s="41">
        <f t="shared" si="89"/>
        <v>0</v>
      </c>
      <c r="Z246" s="41">
        <f t="shared" si="90"/>
        <v>16.247250000000001</v>
      </c>
      <c r="AA246" s="41">
        <f t="shared" si="91"/>
        <v>0</v>
      </c>
      <c r="AB246" s="41">
        <f t="shared" si="92"/>
        <v>64.989000000000004</v>
      </c>
      <c r="AC246" s="41">
        <f t="shared" si="93"/>
        <v>64.989000000000004</v>
      </c>
      <c r="AD246" s="41">
        <f t="shared" si="94"/>
        <v>64.989000000000004</v>
      </c>
      <c r="AE246" s="41">
        <f t="shared" si="95"/>
        <v>259.95600000000002</v>
      </c>
      <c r="AF246" s="41">
        <f t="shared" si="96"/>
        <v>0</v>
      </c>
      <c r="AG246" s="41">
        <f t="shared" si="99"/>
        <v>0</v>
      </c>
      <c r="AH246" s="41">
        <f t="shared" si="97"/>
        <v>0</v>
      </c>
    </row>
    <row r="247" spans="2:34" ht="15" customHeight="1" x14ac:dyDescent="0.3">
      <c r="B247" s="60" t="s">
        <v>276</v>
      </c>
      <c r="C247" s="48">
        <f>529.91</f>
        <v>529.91</v>
      </c>
      <c r="D247" s="48">
        <v>80.56</v>
      </c>
      <c r="E247" s="48">
        <v>0</v>
      </c>
      <c r="F247" s="48">
        <v>776.76</v>
      </c>
      <c r="G247" s="48">
        <v>120.35</v>
      </c>
      <c r="H247" s="48">
        <v>0</v>
      </c>
      <c r="I247" s="48">
        <v>0</v>
      </c>
      <c r="J247" s="49">
        <v>0</v>
      </c>
      <c r="K247" s="48">
        <f t="shared" si="100"/>
        <v>36.6282</v>
      </c>
      <c r="L247" s="48">
        <v>0</v>
      </c>
      <c r="M247" s="48">
        <f t="shared" si="101"/>
        <v>1507.58</v>
      </c>
      <c r="N247" s="41">
        <f t="shared" si="80"/>
        <v>361.81919999999997</v>
      </c>
      <c r="O247" s="41">
        <f t="shared" si="81"/>
        <v>119.35008835859999</v>
      </c>
      <c r="P247" s="41">
        <f t="shared" si="82"/>
        <v>100.50533835859999</v>
      </c>
      <c r="Q247" s="41">
        <f t="shared" si="83"/>
        <v>119.35008835859999</v>
      </c>
      <c r="R247" s="41">
        <f t="shared" si="84"/>
        <v>0</v>
      </c>
      <c r="S247" s="41">
        <f t="shared" si="85"/>
        <v>79.147949999999994</v>
      </c>
      <c r="T247" s="41">
        <f t="shared" si="86"/>
        <v>60.303199999999997</v>
      </c>
      <c r="U247" s="41">
        <f t="shared" si="87"/>
        <v>30.151599999999998</v>
      </c>
      <c r="V247" s="41">
        <f t="shared" si="98"/>
        <v>30.151599999999998</v>
      </c>
      <c r="W247" s="41">
        <f t="shared" si="88"/>
        <v>60.303199999999997</v>
      </c>
      <c r="X247" s="41">
        <f t="shared" si="89"/>
        <v>0</v>
      </c>
      <c r="Y247" s="41">
        <f t="shared" si="89"/>
        <v>0</v>
      </c>
      <c r="Z247" s="41">
        <f t="shared" si="90"/>
        <v>18.844750000000001</v>
      </c>
      <c r="AA247" s="41">
        <f t="shared" si="91"/>
        <v>0</v>
      </c>
      <c r="AB247" s="41">
        <f t="shared" si="92"/>
        <v>75.379000000000005</v>
      </c>
      <c r="AC247" s="41">
        <f t="shared" si="93"/>
        <v>75.379000000000005</v>
      </c>
      <c r="AD247" s="41">
        <f t="shared" si="94"/>
        <v>75.379000000000005</v>
      </c>
      <c r="AE247" s="41">
        <f t="shared" si="95"/>
        <v>301.51600000000002</v>
      </c>
      <c r="AF247" s="41">
        <f t="shared" si="96"/>
        <v>0</v>
      </c>
      <c r="AG247" s="41">
        <f t="shared" si="99"/>
        <v>0</v>
      </c>
      <c r="AH247" s="41">
        <f t="shared" si="97"/>
        <v>0</v>
      </c>
    </row>
    <row r="248" spans="2:34" ht="15" customHeight="1" x14ac:dyDescent="0.3">
      <c r="B248" s="60" t="s">
        <v>277</v>
      </c>
      <c r="C248" s="48">
        <v>674.88</v>
      </c>
      <c r="D248" s="48">
        <v>94.78</v>
      </c>
      <c r="E248" s="48">
        <v>0</v>
      </c>
      <c r="F248" s="48">
        <v>768.85</v>
      </c>
      <c r="G248" s="48">
        <v>119.1</v>
      </c>
      <c r="H248" s="48">
        <v>0</v>
      </c>
      <c r="I248" s="48">
        <v>0</v>
      </c>
      <c r="J248" s="49">
        <v>0</v>
      </c>
      <c r="K248" s="48">
        <f t="shared" si="100"/>
        <v>46.179599999999994</v>
      </c>
      <c r="L248" s="48">
        <v>0</v>
      </c>
      <c r="M248" s="48">
        <f t="shared" si="101"/>
        <v>1657.61</v>
      </c>
      <c r="N248" s="41">
        <f t="shared" si="80"/>
        <v>397.82639999999998</v>
      </c>
      <c r="O248" s="41">
        <f t="shared" si="81"/>
        <v>131.22746385869999</v>
      </c>
      <c r="P248" s="41">
        <f t="shared" si="82"/>
        <v>110.5073388587</v>
      </c>
      <c r="Q248" s="41">
        <f t="shared" si="83"/>
        <v>131.22746385869999</v>
      </c>
      <c r="R248" s="41">
        <f t="shared" si="84"/>
        <v>0</v>
      </c>
      <c r="S248" s="41">
        <f t="shared" si="85"/>
        <v>87.024524999999997</v>
      </c>
      <c r="T248" s="41">
        <f t="shared" si="86"/>
        <v>66.304400000000001</v>
      </c>
      <c r="U248" s="41">
        <f t="shared" si="87"/>
        <v>33.152200000000001</v>
      </c>
      <c r="V248" s="41">
        <f t="shared" si="98"/>
        <v>33.152200000000001</v>
      </c>
      <c r="W248" s="41">
        <f t="shared" si="88"/>
        <v>66.304400000000001</v>
      </c>
      <c r="X248" s="41">
        <f t="shared" si="89"/>
        <v>0</v>
      </c>
      <c r="Y248" s="41">
        <f t="shared" si="89"/>
        <v>0</v>
      </c>
      <c r="Z248" s="41">
        <f t="shared" si="90"/>
        <v>20.720124999999999</v>
      </c>
      <c r="AA248" s="41">
        <f t="shared" si="91"/>
        <v>0</v>
      </c>
      <c r="AB248" s="41">
        <f t="shared" si="92"/>
        <v>82.880499999999998</v>
      </c>
      <c r="AC248" s="41">
        <f t="shared" si="93"/>
        <v>82.880499999999998</v>
      </c>
      <c r="AD248" s="41">
        <f t="shared" si="94"/>
        <v>82.880499999999998</v>
      </c>
      <c r="AE248" s="41">
        <f t="shared" si="95"/>
        <v>331.52199999999999</v>
      </c>
      <c r="AF248" s="41">
        <f t="shared" si="96"/>
        <v>0</v>
      </c>
      <c r="AG248" s="41">
        <f t="shared" si="99"/>
        <v>0</v>
      </c>
      <c r="AH248" s="41">
        <f t="shared" si="97"/>
        <v>0</v>
      </c>
    </row>
    <row r="249" spans="2:34" ht="15" customHeight="1" x14ac:dyDescent="0.3">
      <c r="B249" s="60" t="s">
        <v>278</v>
      </c>
      <c r="C249" s="48">
        <v>0</v>
      </c>
      <c r="D249" s="48">
        <v>0</v>
      </c>
      <c r="E249" s="48">
        <v>0</v>
      </c>
      <c r="F249" s="48">
        <v>0</v>
      </c>
      <c r="G249" s="48">
        <v>0</v>
      </c>
      <c r="H249" s="48">
        <v>0</v>
      </c>
      <c r="I249" s="48">
        <v>0</v>
      </c>
      <c r="J249" s="49">
        <v>0</v>
      </c>
      <c r="K249" s="48">
        <f t="shared" si="100"/>
        <v>0</v>
      </c>
      <c r="L249" s="48">
        <v>0</v>
      </c>
      <c r="M249" s="48">
        <f t="shared" si="101"/>
        <v>0</v>
      </c>
      <c r="N249" s="41">
        <f t="shared" si="80"/>
        <v>0</v>
      </c>
      <c r="O249" s="41">
        <f t="shared" si="81"/>
        <v>0</v>
      </c>
      <c r="P249" s="41">
        <f t="shared" si="82"/>
        <v>0</v>
      </c>
      <c r="Q249" s="41">
        <f t="shared" si="83"/>
        <v>0</v>
      </c>
      <c r="R249" s="41">
        <f t="shared" si="84"/>
        <v>0</v>
      </c>
      <c r="S249" s="41">
        <f t="shared" si="85"/>
        <v>0</v>
      </c>
      <c r="T249" s="41">
        <f t="shared" si="86"/>
        <v>0</v>
      </c>
      <c r="U249" s="41">
        <f t="shared" si="87"/>
        <v>0</v>
      </c>
      <c r="V249" s="41">
        <f t="shared" si="98"/>
        <v>0</v>
      </c>
      <c r="W249" s="41">
        <f t="shared" si="88"/>
        <v>0</v>
      </c>
      <c r="X249" s="41">
        <f t="shared" si="89"/>
        <v>0</v>
      </c>
      <c r="Y249" s="41">
        <f t="shared" si="89"/>
        <v>0</v>
      </c>
      <c r="Z249" s="41">
        <f t="shared" si="90"/>
        <v>0</v>
      </c>
      <c r="AA249" s="41">
        <f t="shared" si="91"/>
        <v>0</v>
      </c>
      <c r="AB249" s="41">
        <f t="shared" si="92"/>
        <v>0</v>
      </c>
      <c r="AC249" s="41">
        <f t="shared" si="93"/>
        <v>0</v>
      </c>
      <c r="AD249" s="41">
        <f t="shared" si="94"/>
        <v>0</v>
      </c>
      <c r="AE249" s="41">
        <f t="shared" si="95"/>
        <v>0</v>
      </c>
      <c r="AF249" s="41">
        <f t="shared" si="96"/>
        <v>0</v>
      </c>
      <c r="AG249" s="41">
        <f t="shared" si="99"/>
        <v>0</v>
      </c>
      <c r="AH249" s="41">
        <f t="shared" si="97"/>
        <v>0</v>
      </c>
    </row>
    <row r="250" spans="2:34" ht="15" customHeight="1" x14ac:dyDescent="0.3">
      <c r="B250" s="60" t="s">
        <v>279</v>
      </c>
      <c r="C250" s="48">
        <v>738.13</v>
      </c>
      <c r="D250" s="48">
        <v>0</v>
      </c>
      <c r="E250" s="48">
        <v>0</v>
      </c>
      <c r="F250" s="48">
        <v>777.15</v>
      </c>
      <c r="G250" s="48">
        <v>120.35</v>
      </c>
      <c r="H250" s="48">
        <v>0</v>
      </c>
      <c r="I250" s="48">
        <v>0</v>
      </c>
      <c r="J250" s="49">
        <v>0</v>
      </c>
      <c r="K250" s="48">
        <f t="shared" si="100"/>
        <v>44.287799999999997</v>
      </c>
      <c r="L250" s="48">
        <v>0</v>
      </c>
      <c r="M250" s="48">
        <f t="shared" si="101"/>
        <v>1635.6299999999999</v>
      </c>
      <c r="N250" s="41">
        <f t="shared" si="80"/>
        <v>392.55119999999994</v>
      </c>
      <c r="O250" s="41">
        <f t="shared" si="81"/>
        <v>129.48738045209998</v>
      </c>
      <c r="P250" s="41">
        <f t="shared" si="82"/>
        <v>109.04200545209999</v>
      </c>
      <c r="Q250" s="41">
        <f t="shared" si="83"/>
        <v>129.48738045209998</v>
      </c>
      <c r="R250" s="41">
        <f t="shared" si="84"/>
        <v>0</v>
      </c>
      <c r="S250" s="41">
        <f t="shared" si="85"/>
        <v>85.870574999999988</v>
      </c>
      <c r="T250" s="41">
        <f t="shared" si="86"/>
        <v>65.42519999999999</v>
      </c>
      <c r="U250" s="41">
        <f t="shared" si="87"/>
        <v>32.712599999999995</v>
      </c>
      <c r="V250" s="41">
        <f t="shared" si="98"/>
        <v>32.712599999999995</v>
      </c>
      <c r="W250" s="41">
        <f t="shared" si="88"/>
        <v>65.42519999999999</v>
      </c>
      <c r="X250" s="41">
        <f t="shared" si="89"/>
        <v>0</v>
      </c>
      <c r="Y250" s="41">
        <f t="shared" si="89"/>
        <v>0</v>
      </c>
      <c r="Z250" s="41">
        <f t="shared" si="90"/>
        <v>20.445374999999999</v>
      </c>
      <c r="AA250" s="41">
        <f t="shared" si="91"/>
        <v>0</v>
      </c>
      <c r="AB250" s="41">
        <f t="shared" si="92"/>
        <v>81.781499999999994</v>
      </c>
      <c r="AC250" s="41">
        <f t="shared" si="93"/>
        <v>81.781499999999994</v>
      </c>
      <c r="AD250" s="41">
        <f t="shared" si="94"/>
        <v>81.781499999999994</v>
      </c>
      <c r="AE250" s="41">
        <f t="shared" si="95"/>
        <v>327.12599999999998</v>
      </c>
      <c r="AF250" s="41">
        <f t="shared" si="96"/>
        <v>0</v>
      </c>
      <c r="AG250" s="41">
        <f t="shared" si="99"/>
        <v>0</v>
      </c>
      <c r="AH250" s="41">
        <f t="shared" si="97"/>
        <v>0</v>
      </c>
    </row>
    <row r="251" spans="2:34" ht="15" customHeight="1" x14ac:dyDescent="0.3">
      <c r="B251" s="60" t="s">
        <v>280</v>
      </c>
      <c r="C251" s="48">
        <v>1047.4000000000001</v>
      </c>
      <c r="D251" s="48">
        <v>0</v>
      </c>
      <c r="E251" s="48">
        <v>0</v>
      </c>
      <c r="F251" s="48">
        <v>769.25</v>
      </c>
      <c r="G251" s="48">
        <v>119.1</v>
      </c>
      <c r="H251" s="48">
        <v>0</v>
      </c>
      <c r="I251" s="48">
        <v>0</v>
      </c>
      <c r="J251" s="49">
        <v>0</v>
      </c>
      <c r="K251" s="48">
        <f t="shared" si="100"/>
        <v>62.844000000000001</v>
      </c>
      <c r="L251" s="48">
        <v>0</v>
      </c>
      <c r="M251" s="48">
        <f t="shared" si="101"/>
        <v>1935.75</v>
      </c>
      <c r="N251" s="41">
        <f t="shared" si="80"/>
        <v>464.58</v>
      </c>
      <c r="O251" s="41">
        <f t="shared" si="81"/>
        <v>153.24688145249999</v>
      </c>
      <c r="P251" s="41">
        <f t="shared" si="82"/>
        <v>129.05000645249999</v>
      </c>
      <c r="Q251" s="41">
        <f t="shared" si="83"/>
        <v>153.24688145249999</v>
      </c>
      <c r="R251" s="41">
        <f t="shared" si="84"/>
        <v>0</v>
      </c>
      <c r="S251" s="41">
        <f t="shared" si="85"/>
        <v>101.626875</v>
      </c>
      <c r="T251" s="41">
        <f t="shared" si="86"/>
        <v>77.430000000000007</v>
      </c>
      <c r="U251" s="41">
        <f t="shared" si="87"/>
        <v>38.715000000000003</v>
      </c>
      <c r="V251" s="41">
        <f t="shared" si="98"/>
        <v>38.715000000000003</v>
      </c>
      <c r="W251" s="41">
        <f t="shared" si="88"/>
        <v>77.430000000000007</v>
      </c>
      <c r="X251" s="41">
        <f t="shared" si="89"/>
        <v>0</v>
      </c>
      <c r="Y251" s="41">
        <f t="shared" si="89"/>
        <v>0</v>
      </c>
      <c r="Z251" s="41">
        <f t="shared" si="90"/>
        <v>24.196875000000002</v>
      </c>
      <c r="AA251" s="41">
        <f t="shared" si="91"/>
        <v>0</v>
      </c>
      <c r="AB251" s="41">
        <f t="shared" si="92"/>
        <v>96.787500000000009</v>
      </c>
      <c r="AC251" s="41">
        <f t="shared" si="93"/>
        <v>96.787500000000009</v>
      </c>
      <c r="AD251" s="41">
        <f t="shared" si="94"/>
        <v>96.787500000000009</v>
      </c>
      <c r="AE251" s="41">
        <f t="shared" si="95"/>
        <v>387.15000000000003</v>
      </c>
      <c r="AF251" s="41">
        <f t="shared" si="96"/>
        <v>0</v>
      </c>
      <c r="AG251" s="41">
        <f t="shared" si="99"/>
        <v>0</v>
      </c>
      <c r="AH251" s="41">
        <f t="shared" si="97"/>
        <v>0</v>
      </c>
    </row>
    <row r="252" spans="2:34" ht="15" customHeight="1" x14ac:dyDescent="0.3">
      <c r="B252" s="60" t="s">
        <v>281</v>
      </c>
      <c r="C252" s="48">
        <v>847.7</v>
      </c>
      <c r="D252" s="48">
        <f>122.01+54.19</f>
        <v>176.2</v>
      </c>
      <c r="E252" s="48">
        <v>0</v>
      </c>
      <c r="F252" s="48">
        <v>1862.09</v>
      </c>
      <c r="G252" s="48">
        <v>0</v>
      </c>
      <c r="H252" s="48">
        <v>0</v>
      </c>
      <c r="I252" s="48">
        <v>0</v>
      </c>
      <c r="J252" s="49">
        <v>0</v>
      </c>
      <c r="K252" s="48">
        <f t="shared" si="100"/>
        <v>61.434000000000005</v>
      </c>
      <c r="L252" s="48">
        <v>0</v>
      </c>
      <c r="M252" s="48">
        <f t="shared" si="101"/>
        <v>2885.99</v>
      </c>
      <c r="N252" s="41">
        <f t="shared" si="80"/>
        <v>692.63759999999991</v>
      </c>
      <c r="O252" s="41">
        <f t="shared" si="81"/>
        <v>228.47421795329996</v>
      </c>
      <c r="P252" s="41">
        <f t="shared" si="82"/>
        <v>192.39934295329996</v>
      </c>
      <c r="Q252" s="41">
        <f t="shared" si="83"/>
        <v>228.47421795329996</v>
      </c>
      <c r="R252" s="41">
        <f t="shared" si="84"/>
        <v>0</v>
      </c>
      <c r="S252" s="41">
        <f t="shared" si="85"/>
        <v>151.51447499999998</v>
      </c>
      <c r="T252" s="41">
        <f t="shared" si="86"/>
        <v>115.4396</v>
      </c>
      <c r="U252" s="41">
        <f t="shared" si="87"/>
        <v>57.719799999999999</v>
      </c>
      <c r="V252" s="41">
        <f t="shared" si="98"/>
        <v>57.719799999999999</v>
      </c>
      <c r="W252" s="41">
        <f t="shared" si="88"/>
        <v>115.4396</v>
      </c>
      <c r="X252" s="41">
        <f t="shared" si="89"/>
        <v>0</v>
      </c>
      <c r="Y252" s="41">
        <f t="shared" si="89"/>
        <v>0</v>
      </c>
      <c r="Z252" s="41">
        <f t="shared" si="90"/>
        <v>36.074874999999999</v>
      </c>
      <c r="AA252" s="41">
        <f t="shared" si="91"/>
        <v>0</v>
      </c>
      <c r="AB252" s="41">
        <f t="shared" si="92"/>
        <v>144.29949999999999</v>
      </c>
      <c r="AC252" s="41">
        <f t="shared" si="93"/>
        <v>144.29949999999999</v>
      </c>
      <c r="AD252" s="41">
        <f t="shared" si="94"/>
        <v>144.29949999999999</v>
      </c>
      <c r="AE252" s="41">
        <f t="shared" si="95"/>
        <v>577.19799999999998</v>
      </c>
      <c r="AF252" s="41">
        <f t="shared" si="96"/>
        <v>0</v>
      </c>
      <c r="AG252" s="41">
        <f t="shared" si="99"/>
        <v>0</v>
      </c>
      <c r="AH252" s="41">
        <f t="shared" si="97"/>
        <v>0</v>
      </c>
    </row>
    <row r="253" spans="2:34" ht="15" customHeight="1" x14ac:dyDescent="0.3">
      <c r="B253" s="60" t="s">
        <v>282</v>
      </c>
      <c r="C253" s="48">
        <v>647.49</v>
      </c>
      <c r="D253" s="48">
        <v>0</v>
      </c>
      <c r="E253" s="48">
        <v>0</v>
      </c>
      <c r="F253" s="48">
        <v>693.44</v>
      </c>
      <c r="G253" s="48">
        <v>120.24</v>
      </c>
      <c r="H253" s="48">
        <v>0</v>
      </c>
      <c r="I253" s="48">
        <v>0</v>
      </c>
      <c r="J253" s="49">
        <v>0</v>
      </c>
      <c r="K253" s="48">
        <f t="shared" si="100"/>
        <v>38.849399999999996</v>
      </c>
      <c r="L253" s="48">
        <v>0</v>
      </c>
      <c r="M253" s="48">
        <f t="shared" si="101"/>
        <v>1461.17</v>
      </c>
      <c r="N253" s="41">
        <f t="shared" si="80"/>
        <v>350.68079999999998</v>
      </c>
      <c r="O253" s="41">
        <f t="shared" si="81"/>
        <v>115.6759632039</v>
      </c>
      <c r="P253" s="41">
        <f t="shared" si="82"/>
        <v>97.411338203900002</v>
      </c>
      <c r="Q253" s="41">
        <f t="shared" si="83"/>
        <v>115.6759632039</v>
      </c>
      <c r="R253" s="41">
        <f t="shared" si="84"/>
        <v>0</v>
      </c>
      <c r="S253" s="41">
        <f t="shared" si="85"/>
        <v>76.711425000000006</v>
      </c>
      <c r="T253" s="41">
        <f t="shared" si="86"/>
        <v>58.446800000000003</v>
      </c>
      <c r="U253" s="41">
        <f t="shared" si="87"/>
        <v>29.223400000000002</v>
      </c>
      <c r="V253" s="41">
        <f t="shared" si="98"/>
        <v>29.223400000000002</v>
      </c>
      <c r="W253" s="41">
        <f t="shared" si="88"/>
        <v>58.446800000000003</v>
      </c>
      <c r="X253" s="41">
        <f t="shared" si="89"/>
        <v>0</v>
      </c>
      <c r="Y253" s="41">
        <f t="shared" si="89"/>
        <v>0</v>
      </c>
      <c r="Z253" s="41">
        <f t="shared" si="90"/>
        <v>18.264625000000002</v>
      </c>
      <c r="AA253" s="41">
        <f t="shared" si="91"/>
        <v>0</v>
      </c>
      <c r="AB253" s="41">
        <f t="shared" si="92"/>
        <v>73.058500000000009</v>
      </c>
      <c r="AC253" s="41">
        <f t="shared" si="93"/>
        <v>73.058500000000009</v>
      </c>
      <c r="AD253" s="41">
        <f t="shared" si="94"/>
        <v>73.058500000000009</v>
      </c>
      <c r="AE253" s="41">
        <f t="shared" si="95"/>
        <v>292.23400000000004</v>
      </c>
      <c r="AF253" s="41">
        <f t="shared" si="96"/>
        <v>0</v>
      </c>
      <c r="AG253" s="41">
        <f t="shared" si="99"/>
        <v>0</v>
      </c>
      <c r="AH253" s="41">
        <f t="shared" si="97"/>
        <v>0</v>
      </c>
    </row>
    <row r="254" spans="2:34" ht="15" customHeight="1" x14ac:dyDescent="0.3">
      <c r="B254" s="60" t="s">
        <v>283</v>
      </c>
      <c r="C254" s="48">
        <f>720.27-67.77</f>
        <v>652.5</v>
      </c>
      <c r="D254" s="48">
        <v>0</v>
      </c>
      <c r="E254" s="48">
        <v>0</v>
      </c>
      <c r="F254" s="48">
        <v>777.15</v>
      </c>
      <c r="G254" s="48">
        <v>120.35</v>
      </c>
      <c r="H254" s="48">
        <v>0</v>
      </c>
      <c r="I254" s="48">
        <v>0</v>
      </c>
      <c r="J254" s="49">
        <v>0</v>
      </c>
      <c r="K254" s="48">
        <f t="shared" si="100"/>
        <v>39.15</v>
      </c>
      <c r="L254" s="48">
        <v>0</v>
      </c>
      <c r="M254" s="48">
        <f t="shared" si="101"/>
        <v>1550</v>
      </c>
      <c r="N254" s="41">
        <f t="shared" si="80"/>
        <v>372</v>
      </c>
      <c r="O254" s="41">
        <f t="shared" si="81"/>
        <v>122.7083385</v>
      </c>
      <c r="P254" s="41">
        <f t="shared" si="82"/>
        <v>103.3333385</v>
      </c>
      <c r="Q254" s="41">
        <f t="shared" si="83"/>
        <v>122.7083385</v>
      </c>
      <c r="R254" s="41">
        <f t="shared" si="84"/>
        <v>0</v>
      </c>
      <c r="S254" s="41">
        <f t="shared" si="85"/>
        <v>81.375</v>
      </c>
      <c r="T254" s="41">
        <f t="shared" si="86"/>
        <v>62</v>
      </c>
      <c r="U254" s="41">
        <f t="shared" si="87"/>
        <v>31</v>
      </c>
      <c r="V254" s="41">
        <f t="shared" si="98"/>
        <v>31</v>
      </c>
      <c r="W254" s="41">
        <f t="shared" si="88"/>
        <v>62</v>
      </c>
      <c r="X254" s="41">
        <f t="shared" si="89"/>
        <v>0</v>
      </c>
      <c r="Y254" s="41">
        <f t="shared" si="89"/>
        <v>0</v>
      </c>
      <c r="Z254" s="41">
        <f t="shared" si="90"/>
        <v>19.375</v>
      </c>
      <c r="AA254" s="41">
        <f t="shared" si="91"/>
        <v>0</v>
      </c>
      <c r="AB254" s="41">
        <f t="shared" si="92"/>
        <v>77.5</v>
      </c>
      <c r="AC254" s="41">
        <f t="shared" si="93"/>
        <v>77.5</v>
      </c>
      <c r="AD254" s="41">
        <f t="shared" si="94"/>
        <v>77.5</v>
      </c>
      <c r="AE254" s="41">
        <f t="shared" si="95"/>
        <v>310</v>
      </c>
      <c r="AF254" s="41">
        <f t="shared" si="96"/>
        <v>0</v>
      </c>
      <c r="AG254" s="41">
        <f t="shared" si="99"/>
        <v>0</v>
      </c>
      <c r="AH254" s="41">
        <f t="shared" si="97"/>
        <v>0</v>
      </c>
    </row>
    <row r="255" spans="2:34" ht="15" customHeight="1" x14ac:dyDescent="0.3">
      <c r="B255" s="60" t="s">
        <v>284</v>
      </c>
      <c r="C255" s="48">
        <f>622.05-110.4</f>
        <v>511.65</v>
      </c>
      <c r="D255" s="48">
        <v>78.459999999999994</v>
      </c>
      <c r="E255" s="48">
        <v>0</v>
      </c>
      <c r="F255" s="48">
        <v>769.25</v>
      </c>
      <c r="G255" s="48">
        <v>119.1</v>
      </c>
      <c r="H255" s="48">
        <v>0</v>
      </c>
      <c r="I255" s="48">
        <v>0</v>
      </c>
      <c r="J255" s="49">
        <v>0</v>
      </c>
      <c r="K255" s="48">
        <f t="shared" si="100"/>
        <v>35.406599999999997</v>
      </c>
      <c r="L255" s="48">
        <v>0</v>
      </c>
      <c r="M255" s="48">
        <f t="shared" si="101"/>
        <v>1478.46</v>
      </c>
      <c r="N255" s="41">
        <f t="shared" si="80"/>
        <v>354.8304</v>
      </c>
      <c r="O255" s="41">
        <f t="shared" si="81"/>
        <v>117.04475492819999</v>
      </c>
      <c r="P255" s="41">
        <f t="shared" si="82"/>
        <v>98.564004928199992</v>
      </c>
      <c r="Q255" s="41">
        <f t="shared" si="83"/>
        <v>117.04475492819999</v>
      </c>
      <c r="R255" s="41">
        <f t="shared" si="84"/>
        <v>0</v>
      </c>
      <c r="S255" s="41">
        <f t="shared" si="85"/>
        <v>77.619150000000005</v>
      </c>
      <c r="T255" s="41">
        <f t="shared" si="86"/>
        <v>59.138400000000004</v>
      </c>
      <c r="U255" s="41">
        <f t="shared" si="87"/>
        <v>29.569200000000002</v>
      </c>
      <c r="V255" s="41">
        <f t="shared" si="98"/>
        <v>29.569200000000002</v>
      </c>
      <c r="W255" s="41">
        <f t="shared" si="88"/>
        <v>59.138400000000004</v>
      </c>
      <c r="X255" s="41">
        <f t="shared" si="89"/>
        <v>0</v>
      </c>
      <c r="Y255" s="41">
        <f t="shared" si="89"/>
        <v>0</v>
      </c>
      <c r="Z255" s="41">
        <f t="shared" si="90"/>
        <v>18.48075</v>
      </c>
      <c r="AA255" s="41">
        <f t="shared" si="91"/>
        <v>0</v>
      </c>
      <c r="AB255" s="41">
        <f t="shared" si="92"/>
        <v>73.923000000000002</v>
      </c>
      <c r="AC255" s="41">
        <f t="shared" si="93"/>
        <v>73.923000000000002</v>
      </c>
      <c r="AD255" s="41">
        <f t="shared" si="94"/>
        <v>73.923000000000002</v>
      </c>
      <c r="AE255" s="41">
        <f t="shared" si="95"/>
        <v>295.69200000000001</v>
      </c>
      <c r="AF255" s="41">
        <f t="shared" si="96"/>
        <v>0</v>
      </c>
      <c r="AG255" s="41">
        <f t="shared" si="99"/>
        <v>0</v>
      </c>
      <c r="AH255" s="41">
        <f t="shared" si="97"/>
        <v>0</v>
      </c>
    </row>
    <row r="256" spans="2:34" ht="15" customHeight="1" x14ac:dyDescent="0.3">
      <c r="B256" s="60" t="s">
        <v>285</v>
      </c>
      <c r="C256" s="48">
        <f>751.45-135.47</f>
        <v>615.98</v>
      </c>
      <c r="D256" s="48">
        <v>0</v>
      </c>
      <c r="E256" s="48">
        <v>0</v>
      </c>
      <c r="F256" s="48">
        <v>1862.09</v>
      </c>
      <c r="G256" s="48">
        <v>321.93</v>
      </c>
      <c r="H256" s="48">
        <v>0</v>
      </c>
      <c r="I256" s="48">
        <v>0</v>
      </c>
      <c r="J256" s="49">
        <v>0</v>
      </c>
      <c r="K256" s="48">
        <f t="shared" si="100"/>
        <v>36.958799999999997</v>
      </c>
      <c r="L256" s="48">
        <v>0</v>
      </c>
      <c r="M256" s="48">
        <f t="shared" si="101"/>
        <v>2799.9999999999995</v>
      </c>
      <c r="N256" s="41">
        <f t="shared" si="80"/>
        <v>671.99999999999989</v>
      </c>
      <c r="O256" s="41">
        <f t="shared" si="81"/>
        <v>221.66667599999994</v>
      </c>
      <c r="P256" s="41">
        <f t="shared" si="82"/>
        <v>186.66667599999997</v>
      </c>
      <c r="Q256" s="41">
        <f t="shared" si="83"/>
        <v>221.66667599999994</v>
      </c>
      <c r="R256" s="41">
        <f t="shared" si="84"/>
        <v>0</v>
      </c>
      <c r="S256" s="41">
        <f t="shared" si="85"/>
        <v>146.99999999999997</v>
      </c>
      <c r="T256" s="41">
        <f t="shared" si="86"/>
        <v>111.99999999999999</v>
      </c>
      <c r="U256" s="41">
        <f t="shared" si="87"/>
        <v>55.999999999999993</v>
      </c>
      <c r="V256" s="41">
        <f t="shared" si="98"/>
        <v>55.999999999999993</v>
      </c>
      <c r="W256" s="41">
        <f t="shared" si="88"/>
        <v>111.99999999999999</v>
      </c>
      <c r="X256" s="41">
        <f t="shared" si="89"/>
        <v>0</v>
      </c>
      <c r="Y256" s="41">
        <f t="shared" si="89"/>
        <v>0</v>
      </c>
      <c r="Z256" s="41">
        <f t="shared" si="90"/>
        <v>34.999999999999993</v>
      </c>
      <c r="AA256" s="41">
        <f t="shared" si="91"/>
        <v>0</v>
      </c>
      <c r="AB256" s="41">
        <f t="shared" si="92"/>
        <v>139.99999999999997</v>
      </c>
      <c r="AC256" s="41">
        <f t="shared" si="93"/>
        <v>139.99999999999997</v>
      </c>
      <c r="AD256" s="41">
        <f t="shared" si="94"/>
        <v>139.99999999999997</v>
      </c>
      <c r="AE256" s="41">
        <f t="shared" si="95"/>
        <v>559.99999999999989</v>
      </c>
      <c r="AF256" s="41">
        <f t="shared" si="96"/>
        <v>0</v>
      </c>
      <c r="AG256" s="41">
        <f t="shared" si="99"/>
        <v>0</v>
      </c>
      <c r="AH256" s="41">
        <f t="shared" si="97"/>
        <v>0</v>
      </c>
    </row>
    <row r="257" spans="2:34" ht="15" customHeight="1" x14ac:dyDescent="0.3">
      <c r="B257" s="60" t="s">
        <v>54</v>
      </c>
      <c r="C257" s="48">
        <v>489.37</v>
      </c>
      <c r="D257" s="48">
        <v>0</v>
      </c>
      <c r="E257" s="48">
        <v>0</v>
      </c>
      <c r="F257" s="48">
        <v>693.44</v>
      </c>
      <c r="G257" s="48">
        <v>110.38</v>
      </c>
      <c r="H257" s="48">
        <v>0</v>
      </c>
      <c r="I257" s="48">
        <v>0</v>
      </c>
      <c r="J257" s="49">
        <v>0</v>
      </c>
      <c r="K257" s="48">
        <f t="shared" si="100"/>
        <v>29.362199999999998</v>
      </c>
      <c r="L257" s="48">
        <v>0</v>
      </c>
      <c r="M257" s="48">
        <f t="shared" si="101"/>
        <v>1293.19</v>
      </c>
      <c r="N257" s="41">
        <f t="shared" si="80"/>
        <v>310.36560000000003</v>
      </c>
      <c r="O257" s="41">
        <f t="shared" si="81"/>
        <v>102.3775459773</v>
      </c>
      <c r="P257" s="41">
        <f t="shared" si="82"/>
        <v>86.212670977300007</v>
      </c>
      <c r="Q257" s="41">
        <f t="shared" si="83"/>
        <v>102.3775459773</v>
      </c>
      <c r="R257" s="41">
        <f t="shared" si="84"/>
        <v>0</v>
      </c>
      <c r="S257" s="41">
        <f t="shared" si="85"/>
        <v>67.892475000000005</v>
      </c>
      <c r="T257" s="41">
        <f t="shared" si="86"/>
        <v>51.727600000000002</v>
      </c>
      <c r="U257" s="41">
        <f t="shared" si="87"/>
        <v>25.863800000000001</v>
      </c>
      <c r="V257" s="41">
        <f t="shared" si="98"/>
        <v>25.863800000000001</v>
      </c>
      <c r="W257" s="41">
        <f t="shared" si="88"/>
        <v>51.727600000000002</v>
      </c>
      <c r="X257" s="41">
        <f t="shared" si="89"/>
        <v>0</v>
      </c>
      <c r="Y257" s="41">
        <f t="shared" si="89"/>
        <v>0</v>
      </c>
      <c r="Z257" s="41">
        <f t="shared" si="90"/>
        <v>16.164875000000002</v>
      </c>
      <c r="AA257" s="41">
        <f t="shared" si="91"/>
        <v>0</v>
      </c>
      <c r="AB257" s="41">
        <f t="shared" si="92"/>
        <v>64.659500000000008</v>
      </c>
      <c r="AC257" s="41">
        <f t="shared" si="93"/>
        <v>64.659500000000008</v>
      </c>
      <c r="AD257" s="41">
        <f t="shared" si="94"/>
        <v>64.659500000000008</v>
      </c>
      <c r="AE257" s="41">
        <f t="shared" si="95"/>
        <v>258.63800000000003</v>
      </c>
      <c r="AF257" s="41">
        <f t="shared" si="96"/>
        <v>0</v>
      </c>
      <c r="AG257" s="41">
        <f t="shared" si="99"/>
        <v>0</v>
      </c>
      <c r="AH257" s="41">
        <f t="shared" si="97"/>
        <v>0</v>
      </c>
    </row>
    <row r="258" spans="2:34" ht="15" customHeight="1" x14ac:dyDescent="0.3">
      <c r="B258" s="60" t="s">
        <v>286</v>
      </c>
      <c r="C258" s="48">
        <f>606.97-112.25</f>
        <v>494.72</v>
      </c>
      <c r="D258" s="48">
        <v>0</v>
      </c>
      <c r="E258" s="48">
        <v>0</v>
      </c>
      <c r="F258" s="48">
        <v>777.15</v>
      </c>
      <c r="G258" s="48">
        <v>128.13</v>
      </c>
      <c r="H258" s="48">
        <v>0</v>
      </c>
      <c r="I258" s="48">
        <v>0</v>
      </c>
      <c r="J258" s="49">
        <v>0</v>
      </c>
      <c r="K258" s="48">
        <f t="shared" si="100"/>
        <v>29.683199999999999</v>
      </c>
      <c r="L258" s="48">
        <v>0</v>
      </c>
      <c r="M258" s="48">
        <f t="shared" si="101"/>
        <v>1400</v>
      </c>
      <c r="N258" s="41">
        <f t="shared" si="80"/>
        <v>336</v>
      </c>
      <c r="O258" s="41">
        <f t="shared" si="81"/>
        <v>110.833338</v>
      </c>
      <c r="P258" s="41">
        <f t="shared" si="82"/>
        <v>93.333337999999998</v>
      </c>
      <c r="Q258" s="41">
        <f t="shared" si="83"/>
        <v>110.833338</v>
      </c>
      <c r="R258" s="41">
        <f t="shared" si="84"/>
        <v>0</v>
      </c>
      <c r="S258" s="41">
        <f t="shared" si="85"/>
        <v>73.5</v>
      </c>
      <c r="T258" s="41">
        <f t="shared" si="86"/>
        <v>56</v>
      </c>
      <c r="U258" s="41">
        <f t="shared" si="87"/>
        <v>28</v>
      </c>
      <c r="V258" s="41">
        <f t="shared" si="98"/>
        <v>28</v>
      </c>
      <c r="W258" s="41">
        <f t="shared" si="88"/>
        <v>56</v>
      </c>
      <c r="X258" s="41">
        <f t="shared" si="89"/>
        <v>0</v>
      </c>
      <c r="Y258" s="41">
        <f t="shared" si="89"/>
        <v>0</v>
      </c>
      <c r="Z258" s="41">
        <f t="shared" si="90"/>
        <v>17.5</v>
      </c>
      <c r="AA258" s="41">
        <f t="shared" si="91"/>
        <v>0</v>
      </c>
      <c r="AB258" s="41">
        <f t="shared" si="92"/>
        <v>70</v>
      </c>
      <c r="AC258" s="41">
        <f t="shared" si="93"/>
        <v>70</v>
      </c>
      <c r="AD258" s="41">
        <f t="shared" si="94"/>
        <v>70</v>
      </c>
      <c r="AE258" s="41">
        <f t="shared" si="95"/>
        <v>280</v>
      </c>
      <c r="AF258" s="41">
        <f t="shared" si="96"/>
        <v>0</v>
      </c>
      <c r="AG258" s="41">
        <f t="shared" si="99"/>
        <v>0</v>
      </c>
      <c r="AH258" s="41">
        <f t="shared" si="97"/>
        <v>0</v>
      </c>
    </row>
    <row r="259" spans="2:34" ht="15" customHeight="1" x14ac:dyDescent="0.3">
      <c r="B259" s="60" t="s">
        <v>287</v>
      </c>
      <c r="C259" s="48">
        <f>602.62-100</f>
        <v>502.62</v>
      </c>
      <c r="D259" s="48">
        <v>78.459999999999994</v>
      </c>
      <c r="E259" s="48">
        <v>0</v>
      </c>
      <c r="F259" s="48">
        <v>769.25</v>
      </c>
      <c r="G259" s="48">
        <v>128.13</v>
      </c>
      <c r="H259" s="48">
        <v>0</v>
      </c>
      <c r="I259" s="48">
        <v>0</v>
      </c>
      <c r="J259" s="49">
        <v>0</v>
      </c>
      <c r="K259" s="48">
        <f t="shared" si="100"/>
        <v>34.864800000000002</v>
      </c>
      <c r="L259" s="48">
        <v>0</v>
      </c>
      <c r="M259" s="48">
        <f t="shared" si="101"/>
        <v>1478.46</v>
      </c>
      <c r="N259" s="41">
        <f t="shared" si="80"/>
        <v>354.8304</v>
      </c>
      <c r="O259" s="41">
        <f t="shared" si="81"/>
        <v>117.04475492819999</v>
      </c>
      <c r="P259" s="41">
        <f t="shared" si="82"/>
        <v>98.564004928199992</v>
      </c>
      <c r="Q259" s="41">
        <f t="shared" si="83"/>
        <v>117.04475492819999</v>
      </c>
      <c r="R259" s="41">
        <f t="shared" si="84"/>
        <v>0</v>
      </c>
      <c r="S259" s="41">
        <f t="shared" si="85"/>
        <v>77.619150000000005</v>
      </c>
      <c r="T259" s="41">
        <f t="shared" si="86"/>
        <v>59.138400000000004</v>
      </c>
      <c r="U259" s="41">
        <f t="shared" si="87"/>
        <v>29.569200000000002</v>
      </c>
      <c r="V259" s="41">
        <f t="shared" si="98"/>
        <v>29.569200000000002</v>
      </c>
      <c r="W259" s="41">
        <f t="shared" si="88"/>
        <v>59.138400000000004</v>
      </c>
      <c r="X259" s="41">
        <f t="shared" si="89"/>
        <v>0</v>
      </c>
      <c r="Y259" s="41">
        <f t="shared" si="89"/>
        <v>0</v>
      </c>
      <c r="Z259" s="41">
        <f t="shared" si="90"/>
        <v>18.48075</v>
      </c>
      <c r="AA259" s="41">
        <f t="shared" si="91"/>
        <v>0</v>
      </c>
      <c r="AB259" s="41">
        <f t="shared" si="92"/>
        <v>73.923000000000002</v>
      </c>
      <c r="AC259" s="41">
        <f t="shared" si="93"/>
        <v>73.923000000000002</v>
      </c>
      <c r="AD259" s="41">
        <f t="shared" si="94"/>
        <v>73.923000000000002</v>
      </c>
      <c r="AE259" s="41">
        <f t="shared" si="95"/>
        <v>295.69200000000001</v>
      </c>
      <c r="AF259" s="41">
        <f t="shared" si="96"/>
        <v>0</v>
      </c>
      <c r="AG259" s="41">
        <f t="shared" si="99"/>
        <v>0</v>
      </c>
      <c r="AH259" s="41">
        <f t="shared" si="97"/>
        <v>0</v>
      </c>
    </row>
    <row r="260" spans="2:34" ht="15" customHeight="1" x14ac:dyDescent="0.3">
      <c r="B260" s="60" t="s">
        <v>288</v>
      </c>
      <c r="C260" s="48">
        <f>598.03-100</f>
        <v>498.03</v>
      </c>
      <c r="D260" s="48">
        <v>0</v>
      </c>
      <c r="E260" s="48">
        <v>0</v>
      </c>
      <c r="F260" s="48">
        <v>693.44</v>
      </c>
      <c r="G260" s="48">
        <v>112.36</v>
      </c>
      <c r="H260" s="48">
        <v>0</v>
      </c>
      <c r="I260" s="48">
        <v>0</v>
      </c>
      <c r="J260" s="49">
        <v>0</v>
      </c>
      <c r="K260" s="48">
        <f t="shared" si="100"/>
        <v>29.881799999999998</v>
      </c>
      <c r="L260" s="48">
        <v>0</v>
      </c>
      <c r="M260" s="48">
        <f t="shared" si="101"/>
        <v>1303.83</v>
      </c>
      <c r="N260" s="41">
        <f t="shared" si="80"/>
        <v>312.91919999999999</v>
      </c>
      <c r="O260" s="41">
        <f t="shared" si="81"/>
        <v>103.21987934609999</v>
      </c>
      <c r="P260" s="41">
        <f t="shared" si="82"/>
        <v>86.922004346099996</v>
      </c>
      <c r="Q260" s="41">
        <f t="shared" si="83"/>
        <v>103.21987934609999</v>
      </c>
      <c r="R260" s="41">
        <f t="shared" si="84"/>
        <v>0</v>
      </c>
      <c r="S260" s="41">
        <f t="shared" si="85"/>
        <v>68.451074999999989</v>
      </c>
      <c r="T260" s="41">
        <f t="shared" si="86"/>
        <v>52.153199999999998</v>
      </c>
      <c r="U260" s="41">
        <f t="shared" si="87"/>
        <v>26.076599999999999</v>
      </c>
      <c r="V260" s="41">
        <f t="shared" si="98"/>
        <v>26.076599999999999</v>
      </c>
      <c r="W260" s="41">
        <f t="shared" si="88"/>
        <v>52.153199999999998</v>
      </c>
      <c r="X260" s="41">
        <f t="shared" si="89"/>
        <v>0</v>
      </c>
      <c r="Y260" s="41">
        <f t="shared" si="89"/>
        <v>0</v>
      </c>
      <c r="Z260" s="41">
        <f t="shared" si="90"/>
        <v>16.297875000000001</v>
      </c>
      <c r="AA260" s="41">
        <f t="shared" si="91"/>
        <v>0</v>
      </c>
      <c r="AB260" s="41">
        <f t="shared" si="92"/>
        <v>65.191500000000005</v>
      </c>
      <c r="AC260" s="41">
        <f t="shared" si="93"/>
        <v>65.191500000000005</v>
      </c>
      <c r="AD260" s="41">
        <f t="shared" si="94"/>
        <v>65.191500000000005</v>
      </c>
      <c r="AE260" s="41">
        <f t="shared" si="95"/>
        <v>260.76600000000002</v>
      </c>
      <c r="AF260" s="41">
        <f t="shared" si="96"/>
        <v>0</v>
      </c>
      <c r="AG260" s="41">
        <f t="shared" si="99"/>
        <v>0</v>
      </c>
      <c r="AH260" s="41">
        <f t="shared" si="97"/>
        <v>0</v>
      </c>
    </row>
    <row r="261" spans="2:34" ht="15" customHeight="1" x14ac:dyDescent="0.3">
      <c r="B261" s="60" t="s">
        <v>289</v>
      </c>
      <c r="C261" s="48">
        <v>0</v>
      </c>
      <c r="D261" s="48">
        <v>0</v>
      </c>
      <c r="E261" s="48">
        <v>0</v>
      </c>
      <c r="F261" s="48">
        <v>0</v>
      </c>
      <c r="G261" s="48">
        <v>0</v>
      </c>
      <c r="H261" s="48">
        <v>0</v>
      </c>
      <c r="I261" s="48">
        <v>0</v>
      </c>
      <c r="J261" s="49">
        <v>0</v>
      </c>
      <c r="K261" s="48">
        <f t="shared" si="100"/>
        <v>0</v>
      </c>
      <c r="L261" s="48">
        <v>0</v>
      </c>
      <c r="M261" s="48">
        <f t="shared" si="101"/>
        <v>0</v>
      </c>
      <c r="N261" s="41">
        <f t="shared" si="80"/>
        <v>0</v>
      </c>
      <c r="O261" s="41">
        <f t="shared" si="81"/>
        <v>0</v>
      </c>
      <c r="P261" s="41">
        <f t="shared" si="82"/>
        <v>0</v>
      </c>
      <c r="Q261" s="41">
        <f t="shared" si="83"/>
        <v>0</v>
      </c>
      <c r="R261" s="41">
        <f t="shared" si="84"/>
        <v>0</v>
      </c>
      <c r="S261" s="41">
        <f t="shared" si="85"/>
        <v>0</v>
      </c>
      <c r="T261" s="41">
        <f t="shared" si="86"/>
        <v>0</v>
      </c>
      <c r="U261" s="41">
        <f t="shared" si="87"/>
        <v>0</v>
      </c>
      <c r="V261" s="41">
        <f t="shared" si="98"/>
        <v>0</v>
      </c>
      <c r="W261" s="41">
        <f t="shared" si="88"/>
        <v>0</v>
      </c>
      <c r="X261" s="41">
        <f t="shared" si="89"/>
        <v>0</v>
      </c>
      <c r="Y261" s="41">
        <f t="shared" si="89"/>
        <v>0</v>
      </c>
      <c r="Z261" s="41">
        <f t="shared" si="90"/>
        <v>0</v>
      </c>
      <c r="AA261" s="41">
        <f t="shared" si="91"/>
        <v>0</v>
      </c>
      <c r="AB261" s="41">
        <f t="shared" si="92"/>
        <v>0</v>
      </c>
      <c r="AC261" s="41">
        <f t="shared" si="93"/>
        <v>0</v>
      </c>
      <c r="AD261" s="41">
        <f t="shared" si="94"/>
        <v>0</v>
      </c>
      <c r="AE261" s="41">
        <f t="shared" si="95"/>
        <v>0</v>
      </c>
      <c r="AF261" s="41">
        <f t="shared" si="96"/>
        <v>0</v>
      </c>
      <c r="AG261" s="41">
        <f t="shared" si="99"/>
        <v>0</v>
      </c>
      <c r="AH261" s="41">
        <f t="shared" si="97"/>
        <v>0</v>
      </c>
    </row>
    <row r="262" spans="2:34" ht="15" customHeight="1" x14ac:dyDescent="0.3">
      <c r="B262" s="60" t="s">
        <v>290</v>
      </c>
      <c r="C262" s="48">
        <v>597.94000000000005</v>
      </c>
      <c r="D262" s="48">
        <v>0</v>
      </c>
      <c r="E262" s="48">
        <v>0</v>
      </c>
      <c r="F262" s="48">
        <v>640.36</v>
      </c>
      <c r="G262" s="48">
        <v>114.14</v>
      </c>
      <c r="H262" s="48">
        <v>0</v>
      </c>
      <c r="I262" s="48">
        <v>0</v>
      </c>
      <c r="J262" s="49">
        <v>0</v>
      </c>
      <c r="K262" s="48">
        <f t="shared" si="100"/>
        <v>35.876400000000004</v>
      </c>
      <c r="L262" s="48">
        <v>0</v>
      </c>
      <c r="M262" s="48">
        <f t="shared" si="101"/>
        <v>1352.4400000000003</v>
      </c>
      <c r="N262" s="41">
        <f t="shared" si="80"/>
        <v>324.58560000000006</v>
      </c>
      <c r="O262" s="41">
        <f t="shared" si="81"/>
        <v>107.06817117480001</v>
      </c>
      <c r="P262" s="41">
        <f t="shared" si="82"/>
        <v>90.16267117480001</v>
      </c>
      <c r="Q262" s="41">
        <f t="shared" si="83"/>
        <v>107.06817117480001</v>
      </c>
      <c r="R262" s="41">
        <f t="shared" si="84"/>
        <v>0</v>
      </c>
      <c r="S262" s="41">
        <f t="shared" si="85"/>
        <v>71.003100000000018</v>
      </c>
      <c r="T262" s="41">
        <f t="shared" si="86"/>
        <v>54.097600000000014</v>
      </c>
      <c r="U262" s="41">
        <f t="shared" si="87"/>
        <v>27.048800000000007</v>
      </c>
      <c r="V262" s="41">
        <f t="shared" si="98"/>
        <v>27.048800000000007</v>
      </c>
      <c r="W262" s="41">
        <f t="shared" si="88"/>
        <v>54.097600000000014</v>
      </c>
      <c r="X262" s="41">
        <f t="shared" si="89"/>
        <v>0</v>
      </c>
      <c r="Y262" s="41">
        <f t="shared" si="89"/>
        <v>0</v>
      </c>
      <c r="Z262" s="41">
        <f t="shared" si="90"/>
        <v>16.905500000000004</v>
      </c>
      <c r="AA262" s="41">
        <f t="shared" si="91"/>
        <v>0</v>
      </c>
      <c r="AB262" s="41">
        <f t="shared" si="92"/>
        <v>67.622000000000014</v>
      </c>
      <c r="AC262" s="41">
        <f t="shared" si="93"/>
        <v>67.622000000000014</v>
      </c>
      <c r="AD262" s="41">
        <f t="shared" si="94"/>
        <v>67.622000000000014</v>
      </c>
      <c r="AE262" s="41">
        <f t="shared" si="95"/>
        <v>270.48800000000006</v>
      </c>
      <c r="AF262" s="41">
        <f t="shared" si="96"/>
        <v>0</v>
      </c>
      <c r="AG262" s="41">
        <f t="shared" si="99"/>
        <v>0</v>
      </c>
      <c r="AH262" s="41">
        <f t="shared" si="97"/>
        <v>0</v>
      </c>
    </row>
    <row r="263" spans="2:34" ht="15" customHeight="1" x14ac:dyDescent="0.3">
      <c r="B263" s="60" t="s">
        <v>115</v>
      </c>
      <c r="C263" s="48">
        <f>2166.51-1182.52</f>
        <v>983.99000000000024</v>
      </c>
      <c r="D263" s="48">
        <v>0</v>
      </c>
      <c r="E263" s="48">
        <v>0</v>
      </c>
      <c r="F263" s="48">
        <v>1862.09</v>
      </c>
      <c r="G263" s="48">
        <v>283.43</v>
      </c>
      <c r="H263" s="48">
        <v>0</v>
      </c>
      <c r="I263" s="48">
        <v>0</v>
      </c>
      <c r="J263" s="49">
        <v>0</v>
      </c>
      <c r="K263" s="48">
        <f t="shared" si="100"/>
        <v>59.039400000000015</v>
      </c>
      <c r="L263" s="48">
        <v>0</v>
      </c>
      <c r="M263" s="48">
        <f t="shared" si="101"/>
        <v>3129.5099999999998</v>
      </c>
      <c r="N263" s="41">
        <f t="shared" si="80"/>
        <v>751.08239999999989</v>
      </c>
      <c r="O263" s="41">
        <f t="shared" si="81"/>
        <v>247.75288543169995</v>
      </c>
      <c r="P263" s="41">
        <f t="shared" si="82"/>
        <v>208.63401043169998</v>
      </c>
      <c r="Q263" s="41">
        <f t="shared" si="83"/>
        <v>247.75288543169995</v>
      </c>
      <c r="R263" s="41">
        <f t="shared" si="84"/>
        <v>0</v>
      </c>
      <c r="S263" s="41">
        <f t="shared" si="85"/>
        <v>164.29927499999999</v>
      </c>
      <c r="T263" s="41">
        <f t="shared" si="86"/>
        <v>125.18039999999999</v>
      </c>
      <c r="U263" s="41">
        <f t="shared" si="87"/>
        <v>62.590199999999996</v>
      </c>
      <c r="V263" s="41">
        <f t="shared" si="98"/>
        <v>62.590199999999996</v>
      </c>
      <c r="W263" s="41">
        <f t="shared" si="88"/>
        <v>125.18039999999999</v>
      </c>
      <c r="X263" s="41">
        <f t="shared" si="89"/>
        <v>0</v>
      </c>
      <c r="Y263" s="41">
        <f t="shared" si="89"/>
        <v>0</v>
      </c>
      <c r="Z263" s="41">
        <f t="shared" si="90"/>
        <v>39.118875000000003</v>
      </c>
      <c r="AA263" s="41">
        <f t="shared" si="91"/>
        <v>0</v>
      </c>
      <c r="AB263" s="41">
        <f t="shared" si="92"/>
        <v>156.47550000000001</v>
      </c>
      <c r="AC263" s="41">
        <f t="shared" si="93"/>
        <v>156.47550000000001</v>
      </c>
      <c r="AD263" s="41">
        <f t="shared" si="94"/>
        <v>156.47550000000001</v>
      </c>
      <c r="AE263" s="41">
        <f t="shared" si="95"/>
        <v>625.90200000000004</v>
      </c>
      <c r="AF263" s="41">
        <f t="shared" si="96"/>
        <v>0</v>
      </c>
      <c r="AG263" s="41">
        <f t="shared" si="99"/>
        <v>0</v>
      </c>
      <c r="AH263" s="41">
        <f t="shared" si="97"/>
        <v>0</v>
      </c>
    </row>
    <row r="264" spans="2:34" ht="15" customHeight="1" x14ac:dyDescent="0.3">
      <c r="B264" s="60" t="s">
        <v>115</v>
      </c>
      <c r="C264" s="48">
        <v>0</v>
      </c>
      <c r="D264" s="48">
        <v>0</v>
      </c>
      <c r="E264" s="48">
        <v>1012.88</v>
      </c>
      <c r="F264" s="48">
        <v>0</v>
      </c>
      <c r="G264" s="48">
        <v>0</v>
      </c>
      <c r="H264" s="48">
        <v>0</v>
      </c>
      <c r="I264" s="48">
        <v>0</v>
      </c>
      <c r="J264" s="49">
        <v>0</v>
      </c>
      <c r="K264" s="48">
        <f t="shared" si="100"/>
        <v>60.772799999999997</v>
      </c>
      <c r="L264" s="48">
        <v>0</v>
      </c>
      <c r="M264" s="48">
        <f t="shared" si="101"/>
        <v>1012.88</v>
      </c>
      <c r="N264" s="41">
        <f t="shared" si="80"/>
        <v>243.09119999999999</v>
      </c>
      <c r="O264" s="41">
        <f t="shared" si="81"/>
        <v>80.186336709599999</v>
      </c>
      <c r="P264" s="41">
        <f t="shared" si="82"/>
        <v>67.525336709599998</v>
      </c>
      <c r="Q264" s="41">
        <f t="shared" si="83"/>
        <v>80.186336709599999</v>
      </c>
      <c r="R264" s="41">
        <f t="shared" si="84"/>
        <v>0</v>
      </c>
      <c r="S264" s="41">
        <f t="shared" si="85"/>
        <v>53.176199999999994</v>
      </c>
      <c r="T264" s="41">
        <f t="shared" si="86"/>
        <v>40.5152</v>
      </c>
      <c r="U264" s="41">
        <f t="shared" si="87"/>
        <v>20.2576</v>
      </c>
      <c r="V264" s="41">
        <f t="shared" si="98"/>
        <v>20.2576</v>
      </c>
      <c r="W264" s="41">
        <f t="shared" si="88"/>
        <v>40.5152</v>
      </c>
      <c r="X264" s="41">
        <f t="shared" si="89"/>
        <v>0</v>
      </c>
      <c r="Y264" s="41">
        <f t="shared" si="89"/>
        <v>0</v>
      </c>
      <c r="Z264" s="41">
        <f t="shared" si="90"/>
        <v>12.661000000000001</v>
      </c>
      <c r="AA264" s="41">
        <f t="shared" si="91"/>
        <v>0</v>
      </c>
      <c r="AB264" s="41">
        <f t="shared" si="92"/>
        <v>50.644000000000005</v>
      </c>
      <c r="AC264" s="41">
        <f t="shared" si="93"/>
        <v>50.644000000000005</v>
      </c>
      <c r="AD264" s="41">
        <f t="shared" si="94"/>
        <v>50.644000000000005</v>
      </c>
      <c r="AE264" s="41">
        <f t="shared" si="95"/>
        <v>202.57600000000002</v>
      </c>
      <c r="AF264" s="41">
        <f t="shared" si="96"/>
        <v>0</v>
      </c>
      <c r="AG264" s="41">
        <f t="shared" si="99"/>
        <v>0</v>
      </c>
      <c r="AH264" s="41">
        <f t="shared" si="97"/>
        <v>0</v>
      </c>
    </row>
    <row r="265" spans="2:34" ht="15" customHeight="1" x14ac:dyDescent="0.3">
      <c r="B265" s="60" t="s">
        <v>291</v>
      </c>
      <c r="C265" s="48">
        <v>0</v>
      </c>
      <c r="D265" s="48">
        <v>0</v>
      </c>
      <c r="E265" s="48">
        <v>0</v>
      </c>
      <c r="F265" s="48">
        <v>0</v>
      </c>
      <c r="G265" s="48">
        <v>0</v>
      </c>
      <c r="H265" s="48">
        <v>0</v>
      </c>
      <c r="I265" s="48">
        <v>0</v>
      </c>
      <c r="J265" s="49">
        <v>0</v>
      </c>
      <c r="K265" s="48">
        <f t="shared" si="100"/>
        <v>0</v>
      </c>
      <c r="L265" s="48">
        <v>0</v>
      </c>
      <c r="M265" s="48">
        <f t="shared" si="101"/>
        <v>0</v>
      </c>
      <c r="N265" s="41">
        <f t="shared" si="80"/>
        <v>0</v>
      </c>
      <c r="O265" s="41">
        <f t="shared" si="81"/>
        <v>0</v>
      </c>
      <c r="P265" s="41">
        <f t="shared" si="82"/>
        <v>0</v>
      </c>
      <c r="Q265" s="41">
        <f t="shared" si="83"/>
        <v>0</v>
      </c>
      <c r="R265" s="41">
        <f t="shared" si="84"/>
        <v>0</v>
      </c>
      <c r="S265" s="41">
        <f t="shared" si="85"/>
        <v>0</v>
      </c>
      <c r="T265" s="41">
        <f t="shared" si="86"/>
        <v>0</v>
      </c>
      <c r="U265" s="41">
        <f t="shared" si="87"/>
        <v>0</v>
      </c>
      <c r="V265" s="41">
        <f t="shared" si="98"/>
        <v>0</v>
      </c>
      <c r="W265" s="41">
        <f t="shared" si="88"/>
        <v>0</v>
      </c>
      <c r="X265" s="41">
        <f t="shared" si="89"/>
        <v>0</v>
      </c>
      <c r="Y265" s="41">
        <f t="shared" si="89"/>
        <v>0</v>
      </c>
      <c r="Z265" s="41">
        <f t="shared" si="90"/>
        <v>0</v>
      </c>
      <c r="AA265" s="41">
        <f t="shared" si="91"/>
        <v>0</v>
      </c>
      <c r="AB265" s="41">
        <f t="shared" si="92"/>
        <v>0</v>
      </c>
      <c r="AC265" s="41">
        <f t="shared" si="93"/>
        <v>0</v>
      </c>
      <c r="AD265" s="41">
        <f t="shared" si="94"/>
        <v>0</v>
      </c>
      <c r="AE265" s="41">
        <f t="shared" si="95"/>
        <v>0</v>
      </c>
      <c r="AF265" s="41">
        <f t="shared" si="96"/>
        <v>0</v>
      </c>
      <c r="AG265" s="41">
        <f t="shared" si="99"/>
        <v>0</v>
      </c>
      <c r="AH265" s="41">
        <f t="shared" si="97"/>
        <v>0</v>
      </c>
    </row>
    <row r="266" spans="2:34" ht="15" customHeight="1" x14ac:dyDescent="0.3">
      <c r="B266" s="60" t="s">
        <v>292</v>
      </c>
      <c r="C266" s="48">
        <v>346.08</v>
      </c>
      <c r="D266" s="48">
        <v>0</v>
      </c>
      <c r="E266" s="48">
        <v>0</v>
      </c>
      <c r="F266" s="48">
        <v>645.30999999999995</v>
      </c>
      <c r="G266" s="48">
        <v>108.61</v>
      </c>
      <c r="H266" s="48">
        <v>0</v>
      </c>
      <c r="I266" s="48">
        <v>0</v>
      </c>
      <c r="J266" s="49">
        <v>0</v>
      </c>
      <c r="K266" s="48">
        <f t="shared" si="100"/>
        <v>20.764799999999997</v>
      </c>
      <c r="L266" s="48">
        <v>0</v>
      </c>
      <c r="M266" s="48">
        <f t="shared" si="101"/>
        <v>1099.9999999999998</v>
      </c>
      <c r="N266" s="41">
        <f t="shared" si="80"/>
        <v>263.99999999999994</v>
      </c>
      <c r="O266" s="41">
        <f t="shared" si="81"/>
        <v>87.083336999999972</v>
      </c>
      <c r="P266" s="41">
        <f t="shared" si="82"/>
        <v>73.333336999999986</v>
      </c>
      <c r="Q266" s="41">
        <f t="shared" si="83"/>
        <v>87.083336999999972</v>
      </c>
      <c r="R266" s="41">
        <f t="shared" si="84"/>
        <v>0</v>
      </c>
      <c r="S266" s="41">
        <f t="shared" si="85"/>
        <v>57.749999999999986</v>
      </c>
      <c r="T266" s="41">
        <f t="shared" si="86"/>
        <v>43.999999999999993</v>
      </c>
      <c r="U266" s="41">
        <f t="shared" si="87"/>
        <v>21.999999999999996</v>
      </c>
      <c r="V266" s="41">
        <f t="shared" si="98"/>
        <v>21.999999999999996</v>
      </c>
      <c r="W266" s="41">
        <f t="shared" si="88"/>
        <v>43.999999999999993</v>
      </c>
      <c r="X266" s="41">
        <f t="shared" si="89"/>
        <v>0</v>
      </c>
      <c r="Y266" s="41">
        <f t="shared" si="89"/>
        <v>0</v>
      </c>
      <c r="Z266" s="41">
        <f t="shared" si="90"/>
        <v>13.749999999999998</v>
      </c>
      <c r="AA266" s="41">
        <f t="shared" si="91"/>
        <v>0</v>
      </c>
      <c r="AB266" s="41">
        <f t="shared" si="92"/>
        <v>54.999999999999993</v>
      </c>
      <c r="AC266" s="41">
        <f t="shared" si="93"/>
        <v>54.999999999999993</v>
      </c>
      <c r="AD266" s="41">
        <f t="shared" si="94"/>
        <v>54.999999999999993</v>
      </c>
      <c r="AE266" s="41">
        <f t="shared" si="95"/>
        <v>219.99999999999997</v>
      </c>
      <c r="AF266" s="41">
        <f t="shared" si="96"/>
        <v>0</v>
      </c>
      <c r="AG266" s="41">
        <f t="shared" si="99"/>
        <v>0</v>
      </c>
      <c r="AH266" s="41">
        <f t="shared" si="97"/>
        <v>0</v>
      </c>
    </row>
    <row r="267" spans="2:34" ht="15" customHeight="1" x14ac:dyDescent="0.3">
      <c r="B267" s="60" t="s">
        <v>293</v>
      </c>
      <c r="C267" s="48">
        <v>0</v>
      </c>
      <c r="D267" s="48">
        <v>0</v>
      </c>
      <c r="E267" s="48">
        <v>0</v>
      </c>
      <c r="F267" s="48">
        <v>640.36</v>
      </c>
      <c r="G267" s="48">
        <v>107.75</v>
      </c>
      <c r="H267" s="48">
        <v>0</v>
      </c>
      <c r="I267" s="48">
        <v>0</v>
      </c>
      <c r="J267" s="49">
        <v>0</v>
      </c>
      <c r="K267" s="48">
        <f t="shared" si="100"/>
        <v>0</v>
      </c>
      <c r="L267" s="48">
        <v>0</v>
      </c>
      <c r="M267" s="48">
        <f t="shared" si="101"/>
        <v>748.11</v>
      </c>
      <c r="N267" s="41">
        <f t="shared" si="80"/>
        <v>179.54640000000001</v>
      </c>
      <c r="O267" s="41">
        <f t="shared" si="81"/>
        <v>59.225377493699995</v>
      </c>
      <c r="P267" s="41">
        <f t="shared" si="82"/>
        <v>49.874002493699997</v>
      </c>
      <c r="Q267" s="41">
        <f t="shared" si="83"/>
        <v>59.225377493699995</v>
      </c>
      <c r="R267" s="41">
        <f t="shared" si="84"/>
        <v>0</v>
      </c>
      <c r="S267" s="41">
        <f t="shared" si="85"/>
        <v>39.275774999999996</v>
      </c>
      <c r="T267" s="41">
        <f t="shared" si="86"/>
        <v>29.924400000000002</v>
      </c>
      <c r="U267" s="41">
        <f t="shared" si="87"/>
        <v>14.962200000000001</v>
      </c>
      <c r="V267" s="41">
        <f t="shared" si="98"/>
        <v>14.962200000000001</v>
      </c>
      <c r="W267" s="41">
        <f t="shared" si="88"/>
        <v>29.924400000000002</v>
      </c>
      <c r="X267" s="41">
        <f t="shared" si="89"/>
        <v>0</v>
      </c>
      <c r="Y267" s="41">
        <f t="shared" si="89"/>
        <v>0</v>
      </c>
      <c r="Z267" s="41">
        <f t="shared" si="90"/>
        <v>9.3513750000000009</v>
      </c>
      <c r="AA267" s="41">
        <f t="shared" si="91"/>
        <v>0</v>
      </c>
      <c r="AB267" s="41">
        <f t="shared" si="92"/>
        <v>37.405500000000004</v>
      </c>
      <c r="AC267" s="41">
        <f t="shared" si="93"/>
        <v>37.405500000000004</v>
      </c>
      <c r="AD267" s="41">
        <f t="shared" si="94"/>
        <v>37.405500000000004</v>
      </c>
      <c r="AE267" s="41">
        <f t="shared" si="95"/>
        <v>149.62200000000001</v>
      </c>
      <c r="AF267" s="41">
        <f t="shared" si="96"/>
        <v>0</v>
      </c>
      <c r="AG267" s="41">
        <f t="shared" si="99"/>
        <v>0</v>
      </c>
      <c r="AH267" s="41">
        <f t="shared" si="97"/>
        <v>0</v>
      </c>
    </row>
    <row r="268" spans="2:34" ht="15" customHeight="1" x14ac:dyDescent="0.3">
      <c r="B268" s="60" t="s">
        <v>346</v>
      </c>
      <c r="C268" s="48">
        <v>0</v>
      </c>
      <c r="D268" s="48">
        <v>0</v>
      </c>
      <c r="E268" s="48">
        <v>0</v>
      </c>
      <c r="F268" s="48">
        <v>0</v>
      </c>
      <c r="G268" s="48">
        <v>0</v>
      </c>
      <c r="H268" s="48">
        <v>0</v>
      </c>
      <c r="I268" s="48">
        <v>0</v>
      </c>
      <c r="J268" s="49">
        <v>0</v>
      </c>
      <c r="K268" s="48">
        <f t="shared" si="100"/>
        <v>0</v>
      </c>
      <c r="L268" s="48">
        <v>0</v>
      </c>
      <c r="M268" s="48">
        <f t="shared" si="101"/>
        <v>0</v>
      </c>
      <c r="N268" s="41">
        <f t="shared" si="80"/>
        <v>0</v>
      </c>
      <c r="O268" s="41">
        <f t="shared" si="81"/>
        <v>0</v>
      </c>
      <c r="P268" s="41">
        <f t="shared" si="82"/>
        <v>0</v>
      </c>
      <c r="Q268" s="41">
        <f t="shared" si="83"/>
        <v>0</v>
      </c>
      <c r="R268" s="41">
        <f t="shared" si="84"/>
        <v>0</v>
      </c>
      <c r="S268" s="41">
        <f t="shared" si="85"/>
        <v>0</v>
      </c>
      <c r="T268" s="41">
        <f t="shared" si="86"/>
        <v>0</v>
      </c>
      <c r="U268" s="41">
        <f t="shared" si="87"/>
        <v>0</v>
      </c>
      <c r="V268" s="41">
        <f t="shared" si="98"/>
        <v>0</v>
      </c>
      <c r="W268" s="41">
        <f t="shared" si="88"/>
        <v>0</v>
      </c>
      <c r="X268" s="41">
        <f t="shared" si="89"/>
        <v>0</v>
      </c>
      <c r="Y268" s="41">
        <f t="shared" si="89"/>
        <v>0</v>
      </c>
      <c r="Z268" s="41">
        <f t="shared" si="90"/>
        <v>0</v>
      </c>
      <c r="AA268" s="41">
        <f t="shared" si="91"/>
        <v>0</v>
      </c>
      <c r="AB268" s="41">
        <f t="shared" si="92"/>
        <v>0</v>
      </c>
      <c r="AC268" s="41">
        <f t="shared" si="93"/>
        <v>0</v>
      </c>
      <c r="AD268" s="41">
        <f t="shared" si="94"/>
        <v>0</v>
      </c>
      <c r="AE268" s="41">
        <f t="shared" si="95"/>
        <v>0</v>
      </c>
      <c r="AF268" s="41">
        <f t="shared" si="96"/>
        <v>0</v>
      </c>
      <c r="AG268" s="41">
        <f t="shared" si="99"/>
        <v>0</v>
      </c>
      <c r="AH268" s="41">
        <f t="shared" si="97"/>
        <v>0</v>
      </c>
    </row>
    <row r="269" spans="2:34" ht="15" customHeight="1" x14ac:dyDescent="0.3">
      <c r="B269" s="60" t="s">
        <v>294</v>
      </c>
      <c r="C269" s="48">
        <v>1359.5</v>
      </c>
      <c r="D269" s="48">
        <v>0</v>
      </c>
      <c r="E269" s="48">
        <v>0</v>
      </c>
      <c r="F269" s="48">
        <v>1467.97</v>
      </c>
      <c r="G269" s="48">
        <v>65.02</v>
      </c>
      <c r="H269" s="48">
        <v>0</v>
      </c>
      <c r="I269" s="48">
        <v>0</v>
      </c>
      <c r="J269" s="49">
        <v>0</v>
      </c>
      <c r="K269" s="48">
        <f t="shared" si="100"/>
        <v>81.569999999999993</v>
      </c>
      <c r="L269" s="48">
        <v>0</v>
      </c>
      <c r="M269" s="48">
        <f t="shared" si="101"/>
        <v>2892.4900000000002</v>
      </c>
      <c r="N269" s="41">
        <f t="shared" ref="N269:N272" si="102">M269*$N$15</f>
        <v>694.19760000000008</v>
      </c>
      <c r="O269" s="41">
        <f t="shared" ref="O269:O272" si="103">M269*$O$15</f>
        <v>228.9888013083</v>
      </c>
      <c r="P269" s="41">
        <f t="shared" ref="P269:P272" si="104">M269*$P$15</f>
        <v>192.83267630829999</v>
      </c>
      <c r="Q269" s="41">
        <f t="shared" ref="Q269:Q272" si="105">M269*$Q$15</f>
        <v>228.9888013083</v>
      </c>
      <c r="R269" s="41">
        <f t="shared" ref="R269:R272" si="106">M269*$R$15</f>
        <v>0</v>
      </c>
      <c r="S269" s="41">
        <f t="shared" ref="S269:S272" si="107">M269*$S$15</f>
        <v>151.85572500000001</v>
      </c>
      <c r="T269" s="41">
        <f t="shared" ref="T269:T272" si="108">M269*$T$15</f>
        <v>115.69960000000002</v>
      </c>
      <c r="U269" s="41">
        <f t="shared" ref="U269:U272" si="109">M269*$U$15</f>
        <v>57.849800000000009</v>
      </c>
      <c r="V269" s="41">
        <f t="shared" si="98"/>
        <v>57.849800000000009</v>
      </c>
      <c r="W269" s="41">
        <f t="shared" ref="W269:W272" si="110">M269*$W$15</f>
        <v>115.69960000000002</v>
      </c>
      <c r="X269" s="41">
        <f t="shared" ref="X269:Y272" si="111">M269*$X$15</f>
        <v>0</v>
      </c>
      <c r="Y269" s="41">
        <f t="shared" si="111"/>
        <v>0</v>
      </c>
      <c r="Z269" s="41">
        <f t="shared" ref="Z269:Z272" si="112">M269*$Z$15</f>
        <v>36.156125000000003</v>
      </c>
      <c r="AA269" s="41">
        <f t="shared" ref="AA269:AA272" si="113">M269*$AA$15</f>
        <v>0</v>
      </c>
      <c r="AB269" s="41">
        <f t="shared" ref="AB269:AB272" si="114">M269*$AB$15</f>
        <v>144.62450000000001</v>
      </c>
      <c r="AC269" s="41">
        <f t="shared" ref="AC269:AC272" si="115">M269*$AC$15</f>
        <v>144.62450000000001</v>
      </c>
      <c r="AD269" s="41">
        <f t="shared" ref="AD269:AD272" si="116">M269*$AD$15</f>
        <v>144.62450000000001</v>
      </c>
      <c r="AE269" s="41">
        <f t="shared" ref="AE269:AE272" si="117">M269*$AE$15</f>
        <v>578.49800000000005</v>
      </c>
      <c r="AF269" s="41">
        <f t="shared" ref="AF269:AF272" si="118">L269*$AH$15</f>
        <v>0</v>
      </c>
      <c r="AG269" s="41">
        <f t="shared" si="99"/>
        <v>0</v>
      </c>
      <c r="AH269" s="41">
        <f t="shared" ref="AH269:AH272" si="119">M269*$AH$15</f>
        <v>0</v>
      </c>
    </row>
    <row r="270" spans="2:34" ht="15" customHeight="1" x14ac:dyDescent="0.3">
      <c r="B270" s="60" t="s">
        <v>349</v>
      </c>
      <c r="C270" s="48">
        <f>1427.62-203.58</f>
        <v>1224.04</v>
      </c>
      <c r="D270" s="48">
        <v>0</v>
      </c>
      <c r="E270" s="48">
        <v>0</v>
      </c>
      <c r="F270" s="48">
        <v>1506.73</v>
      </c>
      <c r="G270" s="48">
        <v>212.89</v>
      </c>
      <c r="H270" s="48">
        <v>0</v>
      </c>
      <c r="I270" s="48">
        <v>0</v>
      </c>
      <c r="J270" s="49">
        <v>0</v>
      </c>
      <c r="K270" s="48">
        <f t="shared" si="100"/>
        <v>73.442399999999992</v>
      </c>
      <c r="L270" s="48">
        <v>0</v>
      </c>
      <c r="M270" s="48">
        <f t="shared" si="101"/>
        <v>2943.66</v>
      </c>
      <c r="N270" s="41">
        <f t="shared" si="102"/>
        <v>706.47839999999997</v>
      </c>
      <c r="O270" s="41">
        <f t="shared" si="103"/>
        <v>233.03975981219997</v>
      </c>
      <c r="P270" s="41">
        <f t="shared" si="104"/>
        <v>196.24400981219998</v>
      </c>
      <c r="Q270" s="41">
        <f t="shared" si="105"/>
        <v>233.03975981219997</v>
      </c>
      <c r="R270" s="41">
        <f t="shared" si="106"/>
        <v>0</v>
      </c>
      <c r="S270" s="41">
        <f t="shared" si="107"/>
        <v>154.54214999999999</v>
      </c>
      <c r="T270" s="41">
        <f t="shared" si="108"/>
        <v>117.74639999999999</v>
      </c>
      <c r="U270" s="41">
        <f t="shared" si="109"/>
        <v>58.873199999999997</v>
      </c>
      <c r="V270" s="41">
        <f t="shared" ref="V270:V272" si="120">M270*$U$15</f>
        <v>58.873199999999997</v>
      </c>
      <c r="W270" s="41">
        <f t="shared" si="110"/>
        <v>117.74639999999999</v>
      </c>
      <c r="X270" s="41">
        <f t="shared" si="111"/>
        <v>0</v>
      </c>
      <c r="Y270" s="41">
        <f t="shared" si="111"/>
        <v>0</v>
      </c>
      <c r="Z270" s="41">
        <f t="shared" si="112"/>
        <v>36.795749999999998</v>
      </c>
      <c r="AA270" s="41">
        <f t="shared" si="113"/>
        <v>0</v>
      </c>
      <c r="AB270" s="41">
        <f t="shared" si="114"/>
        <v>147.18299999999999</v>
      </c>
      <c r="AC270" s="41">
        <f t="shared" si="115"/>
        <v>147.18299999999999</v>
      </c>
      <c r="AD270" s="41">
        <f t="shared" si="116"/>
        <v>147.18299999999999</v>
      </c>
      <c r="AE270" s="41">
        <f t="shared" si="117"/>
        <v>588.73199999999997</v>
      </c>
      <c r="AF270" s="41">
        <f t="shared" si="118"/>
        <v>0</v>
      </c>
      <c r="AG270" s="41">
        <f t="shared" ref="AG270:AG272" si="121">M270*$AG$15</f>
        <v>0</v>
      </c>
      <c r="AH270" s="41">
        <f t="shared" si="119"/>
        <v>0</v>
      </c>
    </row>
    <row r="271" spans="2:34" ht="15" customHeight="1" x14ac:dyDescent="0.3">
      <c r="B271" s="60" t="s">
        <v>295</v>
      </c>
      <c r="C271" s="48">
        <v>1100.8399999999999</v>
      </c>
      <c r="D271" s="48">
        <v>159.86000000000001</v>
      </c>
      <c r="E271" s="48">
        <v>0</v>
      </c>
      <c r="F271" s="48">
        <v>1424.45</v>
      </c>
      <c r="G271" s="48">
        <v>212.89</v>
      </c>
      <c r="H271" s="48">
        <v>0</v>
      </c>
      <c r="I271" s="48">
        <v>0</v>
      </c>
      <c r="J271" s="49">
        <v>0</v>
      </c>
      <c r="K271" s="48">
        <f t="shared" si="100"/>
        <v>75.641999999999982</v>
      </c>
      <c r="L271" s="48">
        <v>0</v>
      </c>
      <c r="M271" s="48">
        <f t="shared" si="101"/>
        <v>2898.0399999999995</v>
      </c>
      <c r="N271" s="41">
        <f t="shared" si="102"/>
        <v>695.52959999999985</v>
      </c>
      <c r="O271" s="41">
        <f t="shared" si="103"/>
        <v>229.42817632679996</v>
      </c>
      <c r="P271" s="41">
        <f t="shared" si="104"/>
        <v>193.20267632679995</v>
      </c>
      <c r="Q271" s="41">
        <f t="shared" si="105"/>
        <v>229.42817632679996</v>
      </c>
      <c r="R271" s="41">
        <f t="shared" si="106"/>
        <v>0</v>
      </c>
      <c r="S271" s="41">
        <f t="shared" si="107"/>
        <v>152.14709999999997</v>
      </c>
      <c r="T271" s="41">
        <f t="shared" si="108"/>
        <v>115.92159999999998</v>
      </c>
      <c r="U271" s="41">
        <f t="shared" si="109"/>
        <v>57.960799999999992</v>
      </c>
      <c r="V271" s="41">
        <f t="shared" si="120"/>
        <v>57.960799999999992</v>
      </c>
      <c r="W271" s="41">
        <f t="shared" si="110"/>
        <v>115.92159999999998</v>
      </c>
      <c r="X271" s="41">
        <f t="shared" si="111"/>
        <v>0</v>
      </c>
      <c r="Y271" s="41">
        <f t="shared" si="111"/>
        <v>0</v>
      </c>
      <c r="Z271" s="41">
        <f t="shared" si="112"/>
        <v>36.225499999999997</v>
      </c>
      <c r="AA271" s="41">
        <f t="shared" si="113"/>
        <v>0</v>
      </c>
      <c r="AB271" s="41">
        <f t="shared" si="114"/>
        <v>144.90199999999999</v>
      </c>
      <c r="AC271" s="41">
        <f t="shared" si="115"/>
        <v>144.90199999999999</v>
      </c>
      <c r="AD271" s="41">
        <f t="shared" si="116"/>
        <v>144.90199999999999</v>
      </c>
      <c r="AE271" s="41">
        <f t="shared" si="117"/>
        <v>579.60799999999995</v>
      </c>
      <c r="AF271" s="41">
        <f t="shared" si="118"/>
        <v>0</v>
      </c>
      <c r="AG271" s="41">
        <f t="shared" si="121"/>
        <v>0</v>
      </c>
      <c r="AH271" s="41">
        <f t="shared" si="119"/>
        <v>0</v>
      </c>
    </row>
    <row r="272" spans="2:34" ht="15" customHeight="1" x14ac:dyDescent="0.3">
      <c r="B272" s="60" t="s">
        <v>296</v>
      </c>
      <c r="C272" s="48">
        <v>257.18</v>
      </c>
      <c r="D272" s="48">
        <v>0</v>
      </c>
      <c r="E272" s="48">
        <v>0</v>
      </c>
      <c r="F272" s="48">
        <v>161.94</v>
      </c>
      <c r="G272" s="48">
        <v>35.770000000000003</v>
      </c>
      <c r="H272" s="48">
        <v>0</v>
      </c>
      <c r="I272" s="48">
        <v>0</v>
      </c>
      <c r="J272" s="49">
        <v>0</v>
      </c>
      <c r="K272" s="48">
        <f t="shared" si="100"/>
        <v>15.4308</v>
      </c>
      <c r="L272" s="48">
        <v>0</v>
      </c>
      <c r="M272" s="48">
        <f t="shared" si="101"/>
        <v>454.89</v>
      </c>
      <c r="N272" s="41">
        <f t="shared" si="102"/>
        <v>109.17359999999999</v>
      </c>
      <c r="O272" s="41">
        <f t="shared" si="103"/>
        <v>36.012126516299993</v>
      </c>
      <c r="P272" s="41">
        <f t="shared" si="104"/>
        <v>30.326001516299996</v>
      </c>
      <c r="Q272" s="41">
        <f t="shared" si="105"/>
        <v>36.012126516299993</v>
      </c>
      <c r="R272" s="41">
        <f t="shared" si="106"/>
        <v>0</v>
      </c>
      <c r="S272" s="41">
        <f t="shared" si="107"/>
        <v>23.881724999999999</v>
      </c>
      <c r="T272" s="41">
        <f t="shared" si="108"/>
        <v>18.195599999999999</v>
      </c>
      <c r="U272" s="41">
        <f t="shared" si="109"/>
        <v>9.0977999999999994</v>
      </c>
      <c r="V272" s="41">
        <f t="shared" si="120"/>
        <v>9.0977999999999994</v>
      </c>
      <c r="W272" s="41">
        <f t="shared" si="110"/>
        <v>18.195599999999999</v>
      </c>
      <c r="X272" s="41">
        <f t="shared" si="111"/>
        <v>0</v>
      </c>
      <c r="Y272" s="41">
        <f t="shared" si="111"/>
        <v>0</v>
      </c>
      <c r="Z272" s="41">
        <f t="shared" si="112"/>
        <v>5.6861250000000005</v>
      </c>
      <c r="AA272" s="41">
        <f t="shared" si="113"/>
        <v>0</v>
      </c>
      <c r="AB272" s="41">
        <f t="shared" si="114"/>
        <v>22.744500000000002</v>
      </c>
      <c r="AC272" s="41">
        <f t="shared" si="115"/>
        <v>22.744500000000002</v>
      </c>
      <c r="AD272" s="41">
        <f t="shared" si="116"/>
        <v>22.744500000000002</v>
      </c>
      <c r="AE272" s="41">
        <f t="shared" si="117"/>
        <v>90.978000000000009</v>
      </c>
      <c r="AF272" s="41">
        <f t="shared" si="118"/>
        <v>0</v>
      </c>
      <c r="AG272" s="41">
        <f t="shared" si="121"/>
        <v>0</v>
      </c>
      <c r="AH272" s="41">
        <f t="shared" si="119"/>
        <v>0</v>
      </c>
    </row>
    <row r="273" spans="2:34" ht="15" customHeight="1" x14ac:dyDescent="0.3">
      <c r="B273" s="60" t="s">
        <v>297</v>
      </c>
      <c r="C273" s="48">
        <v>227.95</v>
      </c>
      <c r="D273" s="48">
        <v>0</v>
      </c>
      <c r="E273" s="48">
        <v>0</v>
      </c>
      <c r="F273" s="48">
        <v>170.29</v>
      </c>
      <c r="G273" s="48">
        <v>35.770000000000003</v>
      </c>
      <c r="H273" s="48">
        <v>0</v>
      </c>
      <c r="I273" s="48">
        <v>0</v>
      </c>
      <c r="J273" s="49">
        <v>0</v>
      </c>
      <c r="K273" s="48">
        <f t="shared" ref="K273:K301" si="122">(C273+D273+E273)*6%</f>
        <v>13.677</v>
      </c>
      <c r="L273" s="48">
        <v>0</v>
      </c>
      <c r="M273" s="48">
        <f t="shared" ref="M273:M301" si="123">C273+D273+E273+F273+G273+H273+J273+L273-I273</f>
        <v>434.01</v>
      </c>
      <c r="N273" s="41">
        <f t="shared" ref="N273:N287" si="124">M273*$N$15</f>
        <v>104.16239999999999</v>
      </c>
      <c r="O273" s="41">
        <f t="shared" ref="O273:O287" si="125">M273*$O$15</f>
        <v>34.359126446699996</v>
      </c>
      <c r="P273" s="41">
        <f t="shared" ref="P273:P287" si="126">M273*$P$15</f>
        <v>28.934001446699998</v>
      </c>
      <c r="Q273" s="41">
        <f t="shared" ref="Q273:Q287" si="127">M273*$Q$15</f>
        <v>34.359126446699996</v>
      </c>
      <c r="R273" s="41">
        <f t="shared" ref="R273:R287" si="128">M273*$R$15</f>
        <v>0</v>
      </c>
      <c r="S273" s="41">
        <f t="shared" ref="S273:S287" si="129">M273*$S$15</f>
        <v>22.785525</v>
      </c>
      <c r="T273" s="41">
        <f t="shared" ref="T273:T287" si="130">M273*$T$15</f>
        <v>17.360399999999998</v>
      </c>
      <c r="U273" s="41">
        <f t="shared" ref="U273:U287" si="131">M273*$U$15</f>
        <v>8.6801999999999992</v>
      </c>
      <c r="V273" s="41">
        <f t="shared" ref="V273:V287" si="132">M273*$U$15</f>
        <v>8.6801999999999992</v>
      </c>
      <c r="W273" s="41">
        <f t="shared" ref="W273:W287" si="133">M273*$W$15</f>
        <v>17.360399999999998</v>
      </c>
      <c r="X273" s="41">
        <f t="shared" ref="X273:Y287" si="134">M273*$X$15</f>
        <v>0</v>
      </c>
      <c r="Y273" s="41">
        <f t="shared" si="134"/>
        <v>0</v>
      </c>
      <c r="Z273" s="41">
        <f t="shared" ref="Z273:Z287" si="135">M273*$Z$15</f>
        <v>5.4251250000000004</v>
      </c>
      <c r="AA273" s="41">
        <f t="shared" ref="AA273:AA287" si="136">M273*$AA$15</f>
        <v>0</v>
      </c>
      <c r="AB273" s="41">
        <f t="shared" ref="AB273:AB287" si="137">M273*$AB$15</f>
        <v>21.700500000000002</v>
      </c>
      <c r="AC273" s="41">
        <f t="shared" ref="AC273:AC287" si="138">M273*$AC$15</f>
        <v>21.700500000000002</v>
      </c>
      <c r="AD273" s="41">
        <f t="shared" ref="AD273:AD287" si="139">M273*$AD$15</f>
        <v>21.700500000000002</v>
      </c>
      <c r="AE273" s="41">
        <f t="shared" ref="AE273:AE287" si="140">M273*$AE$15</f>
        <v>86.802000000000007</v>
      </c>
      <c r="AF273" s="41">
        <f t="shared" ref="AF273:AF287" si="141">L273*$AH$15</f>
        <v>0</v>
      </c>
      <c r="AG273" s="41">
        <f t="shared" ref="AG273:AG287" si="142">M273*$AG$15</f>
        <v>0</v>
      </c>
      <c r="AH273" s="41">
        <f t="shared" ref="AH273:AH287" si="143">M273*$AH$15</f>
        <v>0</v>
      </c>
    </row>
    <row r="274" spans="2:34" ht="15" customHeight="1" x14ac:dyDescent="0.3">
      <c r="B274" s="60" t="s">
        <v>298</v>
      </c>
      <c r="C274" s="48">
        <v>237.81</v>
      </c>
      <c r="D274" s="48">
        <v>0</v>
      </c>
      <c r="E274" s="48">
        <v>0</v>
      </c>
      <c r="F274" s="48">
        <v>170.29</v>
      </c>
      <c r="G274" s="48">
        <v>35.770000000000003</v>
      </c>
      <c r="H274" s="48">
        <v>0</v>
      </c>
      <c r="I274" s="48">
        <v>0</v>
      </c>
      <c r="J274" s="49">
        <v>0</v>
      </c>
      <c r="K274" s="48">
        <f t="shared" si="122"/>
        <v>14.268599999999999</v>
      </c>
      <c r="L274" s="48">
        <v>0</v>
      </c>
      <c r="M274" s="48">
        <f t="shared" si="123"/>
        <v>443.87</v>
      </c>
      <c r="N274" s="41">
        <f t="shared" si="124"/>
        <v>106.5288</v>
      </c>
      <c r="O274" s="41">
        <f t="shared" si="125"/>
        <v>35.139709812900001</v>
      </c>
      <c r="P274" s="41">
        <f t="shared" si="126"/>
        <v>29.591334812899998</v>
      </c>
      <c r="Q274" s="41">
        <f t="shared" si="127"/>
        <v>35.139709812900001</v>
      </c>
      <c r="R274" s="41">
        <f t="shared" si="128"/>
        <v>0</v>
      </c>
      <c r="S274" s="41">
        <f t="shared" si="129"/>
        <v>23.303175</v>
      </c>
      <c r="T274" s="41">
        <f t="shared" si="130"/>
        <v>17.754799999999999</v>
      </c>
      <c r="U274" s="41">
        <f t="shared" si="131"/>
        <v>8.8773999999999997</v>
      </c>
      <c r="V274" s="41">
        <f t="shared" si="132"/>
        <v>8.8773999999999997</v>
      </c>
      <c r="W274" s="41">
        <f t="shared" si="133"/>
        <v>17.754799999999999</v>
      </c>
      <c r="X274" s="41">
        <f t="shared" si="134"/>
        <v>0</v>
      </c>
      <c r="Y274" s="41">
        <f t="shared" si="134"/>
        <v>0</v>
      </c>
      <c r="Z274" s="41">
        <f t="shared" si="135"/>
        <v>5.5483750000000001</v>
      </c>
      <c r="AA274" s="41">
        <f t="shared" si="136"/>
        <v>0</v>
      </c>
      <c r="AB274" s="41">
        <f t="shared" si="137"/>
        <v>22.1935</v>
      </c>
      <c r="AC274" s="41">
        <f t="shared" si="138"/>
        <v>22.1935</v>
      </c>
      <c r="AD274" s="41">
        <f t="shared" si="139"/>
        <v>22.1935</v>
      </c>
      <c r="AE274" s="41">
        <f t="shared" si="140"/>
        <v>88.774000000000001</v>
      </c>
      <c r="AF274" s="41">
        <f t="shared" si="141"/>
        <v>0</v>
      </c>
      <c r="AG274" s="41">
        <f t="shared" si="142"/>
        <v>0</v>
      </c>
      <c r="AH274" s="41">
        <f t="shared" si="143"/>
        <v>0</v>
      </c>
    </row>
    <row r="275" spans="2:34" ht="15" customHeight="1" x14ac:dyDescent="0.3">
      <c r="B275" s="60" t="s">
        <v>299</v>
      </c>
      <c r="C275" s="48">
        <v>237.19</v>
      </c>
      <c r="D275" s="48">
        <v>30.7</v>
      </c>
      <c r="E275" s="48">
        <v>0</v>
      </c>
      <c r="F275" s="48">
        <v>170.29</v>
      </c>
      <c r="G275" s="48">
        <v>35.770000000000003</v>
      </c>
      <c r="H275" s="48">
        <v>0</v>
      </c>
      <c r="I275" s="48">
        <v>0</v>
      </c>
      <c r="J275" s="49">
        <v>0</v>
      </c>
      <c r="K275" s="48">
        <f t="shared" si="122"/>
        <v>16.073399999999999</v>
      </c>
      <c r="L275" s="48">
        <v>0</v>
      </c>
      <c r="M275" s="48">
        <f t="shared" si="123"/>
        <v>473.94999999999993</v>
      </c>
      <c r="N275" s="41">
        <f t="shared" si="124"/>
        <v>113.74799999999998</v>
      </c>
      <c r="O275" s="41">
        <f t="shared" si="125"/>
        <v>37.521043246499993</v>
      </c>
      <c r="P275" s="41">
        <f t="shared" si="126"/>
        <v>31.596668246499995</v>
      </c>
      <c r="Q275" s="41">
        <f t="shared" si="127"/>
        <v>37.521043246499993</v>
      </c>
      <c r="R275" s="41">
        <f t="shared" si="128"/>
        <v>0</v>
      </c>
      <c r="S275" s="41">
        <f t="shared" si="129"/>
        <v>24.882374999999996</v>
      </c>
      <c r="T275" s="41">
        <f t="shared" si="130"/>
        <v>18.957999999999998</v>
      </c>
      <c r="U275" s="41">
        <f t="shared" si="131"/>
        <v>9.4789999999999992</v>
      </c>
      <c r="V275" s="41">
        <f t="shared" si="132"/>
        <v>9.4789999999999992</v>
      </c>
      <c r="W275" s="41">
        <f t="shared" si="133"/>
        <v>18.957999999999998</v>
      </c>
      <c r="X275" s="41">
        <f t="shared" si="134"/>
        <v>0</v>
      </c>
      <c r="Y275" s="41">
        <f t="shared" si="134"/>
        <v>0</v>
      </c>
      <c r="Z275" s="41">
        <f t="shared" si="135"/>
        <v>5.9243749999999995</v>
      </c>
      <c r="AA275" s="41">
        <f t="shared" si="136"/>
        <v>0</v>
      </c>
      <c r="AB275" s="41">
        <f t="shared" si="137"/>
        <v>23.697499999999998</v>
      </c>
      <c r="AC275" s="41">
        <f t="shared" si="138"/>
        <v>23.697499999999998</v>
      </c>
      <c r="AD275" s="41">
        <f t="shared" si="139"/>
        <v>23.697499999999998</v>
      </c>
      <c r="AE275" s="41">
        <f t="shared" si="140"/>
        <v>94.789999999999992</v>
      </c>
      <c r="AF275" s="41">
        <f t="shared" si="141"/>
        <v>0</v>
      </c>
      <c r="AG275" s="41">
        <f t="shared" si="142"/>
        <v>0</v>
      </c>
      <c r="AH275" s="41">
        <f t="shared" si="143"/>
        <v>0</v>
      </c>
    </row>
    <row r="276" spans="2:34" ht="15" customHeight="1" x14ac:dyDescent="0.3">
      <c r="B276" s="60" t="s">
        <v>300</v>
      </c>
      <c r="C276" s="48">
        <v>0</v>
      </c>
      <c r="D276" s="48">
        <v>0</v>
      </c>
      <c r="E276" s="48">
        <v>0</v>
      </c>
      <c r="F276" s="48">
        <v>0</v>
      </c>
      <c r="G276" s="48">
        <v>0</v>
      </c>
      <c r="H276" s="48">
        <v>0</v>
      </c>
      <c r="I276" s="48">
        <v>0</v>
      </c>
      <c r="J276" s="49">
        <v>0</v>
      </c>
      <c r="K276" s="48">
        <f t="shared" si="122"/>
        <v>0</v>
      </c>
      <c r="L276" s="48">
        <v>0</v>
      </c>
      <c r="M276" s="48">
        <f t="shared" si="123"/>
        <v>0</v>
      </c>
      <c r="N276" s="41">
        <f t="shared" si="124"/>
        <v>0</v>
      </c>
      <c r="O276" s="41">
        <f t="shared" si="125"/>
        <v>0</v>
      </c>
      <c r="P276" s="41">
        <f t="shared" si="126"/>
        <v>0</v>
      </c>
      <c r="Q276" s="41">
        <f t="shared" si="127"/>
        <v>0</v>
      </c>
      <c r="R276" s="41">
        <f t="shared" si="128"/>
        <v>0</v>
      </c>
      <c r="S276" s="41">
        <f t="shared" si="129"/>
        <v>0</v>
      </c>
      <c r="T276" s="41">
        <f t="shared" si="130"/>
        <v>0</v>
      </c>
      <c r="U276" s="41">
        <f t="shared" si="131"/>
        <v>0</v>
      </c>
      <c r="V276" s="41">
        <f t="shared" si="132"/>
        <v>0</v>
      </c>
      <c r="W276" s="41">
        <f t="shared" si="133"/>
        <v>0</v>
      </c>
      <c r="X276" s="41">
        <f t="shared" si="134"/>
        <v>0</v>
      </c>
      <c r="Y276" s="41">
        <f t="shared" si="134"/>
        <v>0</v>
      </c>
      <c r="Z276" s="41">
        <f t="shared" si="135"/>
        <v>0</v>
      </c>
      <c r="AA276" s="41">
        <f t="shared" si="136"/>
        <v>0</v>
      </c>
      <c r="AB276" s="41">
        <f t="shared" si="137"/>
        <v>0</v>
      </c>
      <c r="AC276" s="41">
        <f t="shared" si="138"/>
        <v>0</v>
      </c>
      <c r="AD276" s="41">
        <f t="shared" si="139"/>
        <v>0</v>
      </c>
      <c r="AE276" s="41">
        <f t="shared" si="140"/>
        <v>0</v>
      </c>
      <c r="AF276" s="41">
        <f t="shared" si="141"/>
        <v>0</v>
      </c>
      <c r="AG276" s="41">
        <f t="shared" si="142"/>
        <v>0</v>
      </c>
      <c r="AH276" s="41">
        <f t="shared" si="143"/>
        <v>0</v>
      </c>
    </row>
    <row r="277" spans="2:34" ht="15" customHeight="1" x14ac:dyDescent="0.3">
      <c r="B277" s="60" t="s">
        <v>301</v>
      </c>
      <c r="C277" s="48">
        <v>0</v>
      </c>
      <c r="D277" s="48">
        <v>0</v>
      </c>
      <c r="E277" s="48">
        <v>0</v>
      </c>
      <c r="F277" s="48">
        <v>0</v>
      </c>
      <c r="G277" s="48">
        <v>0</v>
      </c>
      <c r="H277" s="48">
        <v>0</v>
      </c>
      <c r="I277" s="48">
        <v>0</v>
      </c>
      <c r="J277" s="49">
        <v>0</v>
      </c>
      <c r="K277" s="48">
        <f t="shared" si="122"/>
        <v>0</v>
      </c>
      <c r="L277" s="48">
        <v>0</v>
      </c>
      <c r="M277" s="48">
        <f t="shared" si="123"/>
        <v>0</v>
      </c>
      <c r="N277" s="41">
        <f t="shared" si="124"/>
        <v>0</v>
      </c>
      <c r="O277" s="41">
        <f t="shared" si="125"/>
        <v>0</v>
      </c>
      <c r="P277" s="41">
        <f t="shared" si="126"/>
        <v>0</v>
      </c>
      <c r="Q277" s="41">
        <f t="shared" si="127"/>
        <v>0</v>
      </c>
      <c r="R277" s="41">
        <f t="shared" si="128"/>
        <v>0</v>
      </c>
      <c r="S277" s="41">
        <f t="shared" si="129"/>
        <v>0</v>
      </c>
      <c r="T277" s="41">
        <f t="shared" si="130"/>
        <v>0</v>
      </c>
      <c r="U277" s="41">
        <f t="shared" si="131"/>
        <v>0</v>
      </c>
      <c r="V277" s="41">
        <f t="shared" si="132"/>
        <v>0</v>
      </c>
      <c r="W277" s="41">
        <f t="shared" si="133"/>
        <v>0</v>
      </c>
      <c r="X277" s="41">
        <f t="shared" si="134"/>
        <v>0</v>
      </c>
      <c r="Y277" s="41">
        <f t="shared" si="134"/>
        <v>0</v>
      </c>
      <c r="Z277" s="41">
        <f t="shared" si="135"/>
        <v>0</v>
      </c>
      <c r="AA277" s="41">
        <f t="shared" si="136"/>
        <v>0</v>
      </c>
      <c r="AB277" s="41">
        <f t="shared" si="137"/>
        <v>0</v>
      </c>
      <c r="AC277" s="41">
        <f t="shared" si="138"/>
        <v>0</v>
      </c>
      <c r="AD277" s="41">
        <f t="shared" si="139"/>
        <v>0</v>
      </c>
      <c r="AE277" s="41">
        <f t="shared" si="140"/>
        <v>0</v>
      </c>
      <c r="AF277" s="41">
        <f t="shared" si="141"/>
        <v>0</v>
      </c>
      <c r="AG277" s="41">
        <f t="shared" si="142"/>
        <v>0</v>
      </c>
      <c r="AH277" s="41">
        <f t="shared" si="143"/>
        <v>0</v>
      </c>
    </row>
    <row r="278" spans="2:34" ht="15" customHeight="1" x14ac:dyDescent="0.3">
      <c r="B278" s="60" t="s">
        <v>302</v>
      </c>
      <c r="C278" s="48">
        <v>0</v>
      </c>
      <c r="D278" s="48">
        <v>0</v>
      </c>
      <c r="E278" s="48">
        <v>0</v>
      </c>
      <c r="F278" s="48">
        <v>0</v>
      </c>
      <c r="G278" s="48">
        <v>0</v>
      </c>
      <c r="H278" s="48">
        <v>0</v>
      </c>
      <c r="I278" s="48">
        <v>0</v>
      </c>
      <c r="J278" s="49">
        <v>0</v>
      </c>
      <c r="K278" s="48">
        <f t="shared" si="122"/>
        <v>0</v>
      </c>
      <c r="L278" s="48">
        <v>0</v>
      </c>
      <c r="M278" s="48">
        <f t="shared" si="123"/>
        <v>0</v>
      </c>
      <c r="N278" s="41">
        <f t="shared" si="124"/>
        <v>0</v>
      </c>
      <c r="O278" s="41">
        <f t="shared" si="125"/>
        <v>0</v>
      </c>
      <c r="P278" s="41">
        <f t="shared" si="126"/>
        <v>0</v>
      </c>
      <c r="Q278" s="41">
        <f t="shared" si="127"/>
        <v>0</v>
      </c>
      <c r="R278" s="41">
        <f t="shared" si="128"/>
        <v>0</v>
      </c>
      <c r="S278" s="41">
        <f t="shared" si="129"/>
        <v>0</v>
      </c>
      <c r="T278" s="41">
        <f t="shared" si="130"/>
        <v>0</v>
      </c>
      <c r="U278" s="41">
        <f t="shared" si="131"/>
        <v>0</v>
      </c>
      <c r="V278" s="41">
        <f t="shared" si="132"/>
        <v>0</v>
      </c>
      <c r="W278" s="41">
        <f t="shared" si="133"/>
        <v>0</v>
      </c>
      <c r="X278" s="41">
        <f t="shared" si="134"/>
        <v>0</v>
      </c>
      <c r="Y278" s="41">
        <f t="shared" si="134"/>
        <v>0</v>
      </c>
      <c r="Z278" s="41">
        <f t="shared" si="135"/>
        <v>0</v>
      </c>
      <c r="AA278" s="41">
        <f t="shared" si="136"/>
        <v>0</v>
      </c>
      <c r="AB278" s="41">
        <f t="shared" si="137"/>
        <v>0</v>
      </c>
      <c r="AC278" s="41">
        <f t="shared" si="138"/>
        <v>0</v>
      </c>
      <c r="AD278" s="41">
        <f t="shared" si="139"/>
        <v>0</v>
      </c>
      <c r="AE278" s="41">
        <f t="shared" si="140"/>
        <v>0</v>
      </c>
      <c r="AF278" s="41">
        <f t="shared" si="141"/>
        <v>0</v>
      </c>
      <c r="AG278" s="41">
        <f t="shared" si="142"/>
        <v>0</v>
      </c>
      <c r="AH278" s="41">
        <f t="shared" si="143"/>
        <v>0</v>
      </c>
    </row>
    <row r="279" spans="2:34" ht="15" customHeight="1" x14ac:dyDescent="0.3">
      <c r="B279" s="60" t="s">
        <v>303</v>
      </c>
      <c r="C279" s="48">
        <v>0</v>
      </c>
      <c r="D279" s="48">
        <v>0</v>
      </c>
      <c r="E279" s="48">
        <v>0</v>
      </c>
      <c r="F279" s="48">
        <v>0</v>
      </c>
      <c r="G279" s="48">
        <v>0</v>
      </c>
      <c r="H279" s="48">
        <v>0</v>
      </c>
      <c r="I279" s="48">
        <v>0</v>
      </c>
      <c r="J279" s="49">
        <v>0</v>
      </c>
      <c r="K279" s="48">
        <f t="shared" si="122"/>
        <v>0</v>
      </c>
      <c r="L279" s="48">
        <v>0</v>
      </c>
      <c r="M279" s="48">
        <f t="shared" si="123"/>
        <v>0</v>
      </c>
      <c r="N279" s="41">
        <f t="shared" si="124"/>
        <v>0</v>
      </c>
      <c r="O279" s="41">
        <f t="shared" si="125"/>
        <v>0</v>
      </c>
      <c r="P279" s="41">
        <f t="shared" si="126"/>
        <v>0</v>
      </c>
      <c r="Q279" s="41">
        <f t="shared" si="127"/>
        <v>0</v>
      </c>
      <c r="R279" s="41">
        <f t="shared" si="128"/>
        <v>0</v>
      </c>
      <c r="S279" s="41">
        <f t="shared" si="129"/>
        <v>0</v>
      </c>
      <c r="T279" s="41">
        <f t="shared" si="130"/>
        <v>0</v>
      </c>
      <c r="U279" s="41">
        <f t="shared" si="131"/>
        <v>0</v>
      </c>
      <c r="V279" s="41">
        <f t="shared" si="132"/>
        <v>0</v>
      </c>
      <c r="W279" s="41">
        <f t="shared" si="133"/>
        <v>0</v>
      </c>
      <c r="X279" s="41">
        <f t="shared" si="134"/>
        <v>0</v>
      </c>
      <c r="Y279" s="41">
        <f t="shared" si="134"/>
        <v>0</v>
      </c>
      <c r="Z279" s="41">
        <f t="shared" si="135"/>
        <v>0</v>
      </c>
      <c r="AA279" s="41">
        <f t="shared" si="136"/>
        <v>0</v>
      </c>
      <c r="AB279" s="41">
        <f t="shared" si="137"/>
        <v>0</v>
      </c>
      <c r="AC279" s="41">
        <f t="shared" si="138"/>
        <v>0</v>
      </c>
      <c r="AD279" s="41">
        <f t="shared" si="139"/>
        <v>0</v>
      </c>
      <c r="AE279" s="41">
        <f t="shared" si="140"/>
        <v>0</v>
      </c>
      <c r="AF279" s="41">
        <f t="shared" si="141"/>
        <v>0</v>
      </c>
      <c r="AG279" s="41">
        <f t="shared" si="142"/>
        <v>0</v>
      </c>
      <c r="AH279" s="41">
        <f t="shared" si="143"/>
        <v>0</v>
      </c>
    </row>
    <row r="280" spans="2:34" ht="15" customHeight="1" x14ac:dyDescent="0.3">
      <c r="B280" s="60" t="s">
        <v>304</v>
      </c>
      <c r="C280" s="48">
        <v>0</v>
      </c>
      <c r="D280" s="48">
        <v>0</v>
      </c>
      <c r="E280" s="48">
        <v>0</v>
      </c>
      <c r="F280" s="48">
        <v>0</v>
      </c>
      <c r="G280" s="48">
        <v>0</v>
      </c>
      <c r="H280" s="48">
        <v>0</v>
      </c>
      <c r="I280" s="48">
        <v>0</v>
      </c>
      <c r="J280" s="49">
        <v>0</v>
      </c>
      <c r="K280" s="48">
        <f t="shared" si="122"/>
        <v>0</v>
      </c>
      <c r="L280" s="48">
        <v>0</v>
      </c>
      <c r="M280" s="48">
        <f t="shared" si="123"/>
        <v>0</v>
      </c>
      <c r="N280" s="41">
        <f t="shared" si="124"/>
        <v>0</v>
      </c>
      <c r="O280" s="41">
        <f t="shared" si="125"/>
        <v>0</v>
      </c>
      <c r="P280" s="41">
        <f t="shared" si="126"/>
        <v>0</v>
      </c>
      <c r="Q280" s="41">
        <f t="shared" si="127"/>
        <v>0</v>
      </c>
      <c r="R280" s="41">
        <f t="shared" si="128"/>
        <v>0</v>
      </c>
      <c r="S280" s="41">
        <f t="shared" si="129"/>
        <v>0</v>
      </c>
      <c r="T280" s="41">
        <f t="shared" si="130"/>
        <v>0</v>
      </c>
      <c r="U280" s="41">
        <f t="shared" si="131"/>
        <v>0</v>
      </c>
      <c r="V280" s="41">
        <f t="shared" si="132"/>
        <v>0</v>
      </c>
      <c r="W280" s="41">
        <f t="shared" si="133"/>
        <v>0</v>
      </c>
      <c r="X280" s="41">
        <f t="shared" si="134"/>
        <v>0</v>
      </c>
      <c r="Y280" s="41">
        <f t="shared" si="134"/>
        <v>0</v>
      </c>
      <c r="Z280" s="41">
        <f t="shared" si="135"/>
        <v>0</v>
      </c>
      <c r="AA280" s="41">
        <f t="shared" si="136"/>
        <v>0</v>
      </c>
      <c r="AB280" s="41">
        <f t="shared" si="137"/>
        <v>0</v>
      </c>
      <c r="AC280" s="41">
        <f t="shared" si="138"/>
        <v>0</v>
      </c>
      <c r="AD280" s="41">
        <f t="shared" si="139"/>
        <v>0</v>
      </c>
      <c r="AE280" s="41">
        <f t="shared" si="140"/>
        <v>0</v>
      </c>
      <c r="AF280" s="41">
        <f t="shared" si="141"/>
        <v>0</v>
      </c>
      <c r="AG280" s="41">
        <f t="shared" si="142"/>
        <v>0</v>
      </c>
      <c r="AH280" s="41">
        <f t="shared" si="143"/>
        <v>0</v>
      </c>
    </row>
    <row r="281" spans="2:34" ht="15" customHeight="1" x14ac:dyDescent="0.3">
      <c r="B281" s="60" t="s">
        <v>305</v>
      </c>
      <c r="C281" s="48">
        <v>405.79</v>
      </c>
      <c r="D281" s="48">
        <v>0</v>
      </c>
      <c r="E281" s="48">
        <v>0</v>
      </c>
      <c r="F281" s="48">
        <v>155.18</v>
      </c>
      <c r="G281" s="48">
        <v>26.83</v>
      </c>
      <c r="H281" s="48">
        <v>0</v>
      </c>
      <c r="I281" s="48">
        <v>0</v>
      </c>
      <c r="J281" s="49">
        <v>0</v>
      </c>
      <c r="K281" s="48">
        <f t="shared" si="122"/>
        <v>24.3474</v>
      </c>
      <c r="L281" s="48">
        <v>0</v>
      </c>
      <c r="M281" s="48">
        <f t="shared" si="123"/>
        <v>587.80000000000007</v>
      </c>
      <c r="N281" s="41">
        <f t="shared" si="124"/>
        <v>141.072</v>
      </c>
      <c r="O281" s="41">
        <f t="shared" si="125"/>
        <v>46.534168626000003</v>
      </c>
      <c r="P281" s="41">
        <f t="shared" si="126"/>
        <v>39.186668625999999</v>
      </c>
      <c r="Q281" s="41">
        <f t="shared" si="127"/>
        <v>46.534168626000003</v>
      </c>
      <c r="R281" s="41">
        <f t="shared" si="128"/>
        <v>0</v>
      </c>
      <c r="S281" s="41">
        <f t="shared" si="129"/>
        <v>30.859500000000004</v>
      </c>
      <c r="T281" s="41">
        <f t="shared" si="130"/>
        <v>23.512000000000004</v>
      </c>
      <c r="U281" s="41">
        <f t="shared" si="131"/>
        <v>11.756000000000002</v>
      </c>
      <c r="V281" s="41">
        <f t="shared" si="132"/>
        <v>11.756000000000002</v>
      </c>
      <c r="W281" s="41">
        <f t="shared" si="133"/>
        <v>23.512000000000004</v>
      </c>
      <c r="X281" s="41">
        <f t="shared" si="134"/>
        <v>0</v>
      </c>
      <c r="Y281" s="41">
        <f t="shared" si="134"/>
        <v>0</v>
      </c>
      <c r="Z281" s="41">
        <f t="shared" si="135"/>
        <v>7.347500000000001</v>
      </c>
      <c r="AA281" s="41">
        <f t="shared" si="136"/>
        <v>0</v>
      </c>
      <c r="AB281" s="41">
        <f t="shared" si="137"/>
        <v>29.390000000000004</v>
      </c>
      <c r="AC281" s="41">
        <f t="shared" si="138"/>
        <v>29.390000000000004</v>
      </c>
      <c r="AD281" s="41">
        <f t="shared" si="139"/>
        <v>29.390000000000004</v>
      </c>
      <c r="AE281" s="41">
        <f t="shared" si="140"/>
        <v>117.56000000000002</v>
      </c>
      <c r="AF281" s="41">
        <f t="shared" si="141"/>
        <v>0</v>
      </c>
      <c r="AG281" s="41">
        <f t="shared" si="142"/>
        <v>0</v>
      </c>
      <c r="AH281" s="41">
        <f t="shared" si="143"/>
        <v>0</v>
      </c>
    </row>
    <row r="282" spans="2:34" ht="15" customHeight="1" x14ac:dyDescent="0.3">
      <c r="B282" s="60" t="s">
        <v>306</v>
      </c>
      <c r="C282" s="48">
        <v>281.10000000000002</v>
      </c>
      <c r="D282" s="48">
        <v>0</v>
      </c>
      <c r="E282" s="48">
        <v>0</v>
      </c>
      <c r="F282" s="48">
        <v>155.04</v>
      </c>
      <c r="G282" s="48">
        <v>26.83</v>
      </c>
      <c r="H282" s="48">
        <v>0</v>
      </c>
      <c r="I282" s="48">
        <v>0</v>
      </c>
      <c r="J282" s="49">
        <v>0</v>
      </c>
      <c r="K282" s="48">
        <f t="shared" si="122"/>
        <v>16.866</v>
      </c>
      <c r="L282" s="48">
        <v>0</v>
      </c>
      <c r="M282" s="48">
        <f t="shared" si="123"/>
        <v>462.96999999999997</v>
      </c>
      <c r="N282" s="41">
        <f t="shared" si="124"/>
        <v>111.11279999999999</v>
      </c>
      <c r="O282" s="41">
        <f t="shared" si="125"/>
        <v>36.651793209899992</v>
      </c>
      <c r="P282" s="41">
        <f t="shared" si="126"/>
        <v>30.864668209899996</v>
      </c>
      <c r="Q282" s="41">
        <f t="shared" si="127"/>
        <v>36.651793209899992</v>
      </c>
      <c r="R282" s="41">
        <f t="shared" si="128"/>
        <v>0</v>
      </c>
      <c r="S282" s="41">
        <f t="shared" si="129"/>
        <v>24.305924999999998</v>
      </c>
      <c r="T282" s="41">
        <f t="shared" si="130"/>
        <v>18.518799999999999</v>
      </c>
      <c r="U282" s="41">
        <f t="shared" si="131"/>
        <v>9.2593999999999994</v>
      </c>
      <c r="V282" s="41">
        <f t="shared" si="132"/>
        <v>9.2593999999999994</v>
      </c>
      <c r="W282" s="41">
        <f t="shared" si="133"/>
        <v>18.518799999999999</v>
      </c>
      <c r="X282" s="41">
        <f t="shared" si="134"/>
        <v>0</v>
      </c>
      <c r="Y282" s="41">
        <f t="shared" si="134"/>
        <v>0</v>
      </c>
      <c r="Z282" s="41">
        <f t="shared" si="135"/>
        <v>5.7871249999999996</v>
      </c>
      <c r="AA282" s="41">
        <f t="shared" si="136"/>
        <v>0</v>
      </c>
      <c r="AB282" s="41">
        <f t="shared" si="137"/>
        <v>23.148499999999999</v>
      </c>
      <c r="AC282" s="41">
        <f t="shared" si="138"/>
        <v>23.148499999999999</v>
      </c>
      <c r="AD282" s="41">
        <f t="shared" si="139"/>
        <v>23.148499999999999</v>
      </c>
      <c r="AE282" s="41">
        <f t="shared" si="140"/>
        <v>92.593999999999994</v>
      </c>
      <c r="AF282" s="41">
        <f t="shared" si="141"/>
        <v>0</v>
      </c>
      <c r="AG282" s="41">
        <f t="shared" si="142"/>
        <v>0</v>
      </c>
      <c r="AH282" s="41">
        <f t="shared" si="143"/>
        <v>0</v>
      </c>
    </row>
    <row r="283" spans="2:34" ht="15" customHeight="1" x14ac:dyDescent="0.3">
      <c r="B283" s="60" t="s">
        <v>307</v>
      </c>
      <c r="C283" s="48">
        <v>0</v>
      </c>
      <c r="D283" s="48">
        <v>0</v>
      </c>
      <c r="E283" s="48">
        <v>0</v>
      </c>
      <c r="F283" s="48">
        <v>0</v>
      </c>
      <c r="G283" s="48">
        <v>0</v>
      </c>
      <c r="H283" s="48">
        <v>0</v>
      </c>
      <c r="I283" s="48">
        <v>0</v>
      </c>
      <c r="J283" s="49">
        <v>0</v>
      </c>
      <c r="K283" s="48">
        <f t="shared" si="122"/>
        <v>0</v>
      </c>
      <c r="L283" s="48">
        <v>0</v>
      </c>
      <c r="M283" s="48">
        <f t="shared" si="123"/>
        <v>0</v>
      </c>
      <c r="N283" s="41">
        <f t="shared" si="124"/>
        <v>0</v>
      </c>
      <c r="O283" s="41">
        <f t="shared" si="125"/>
        <v>0</v>
      </c>
      <c r="P283" s="41">
        <f t="shared" si="126"/>
        <v>0</v>
      </c>
      <c r="Q283" s="41">
        <f t="shared" si="127"/>
        <v>0</v>
      </c>
      <c r="R283" s="41">
        <f t="shared" si="128"/>
        <v>0</v>
      </c>
      <c r="S283" s="41">
        <f t="shared" si="129"/>
        <v>0</v>
      </c>
      <c r="T283" s="41">
        <f t="shared" si="130"/>
        <v>0</v>
      </c>
      <c r="U283" s="41">
        <f t="shared" si="131"/>
        <v>0</v>
      </c>
      <c r="V283" s="41">
        <f t="shared" si="132"/>
        <v>0</v>
      </c>
      <c r="W283" s="41">
        <f t="shared" si="133"/>
        <v>0</v>
      </c>
      <c r="X283" s="41">
        <f t="shared" si="134"/>
        <v>0</v>
      </c>
      <c r="Y283" s="41">
        <f t="shared" si="134"/>
        <v>0</v>
      </c>
      <c r="Z283" s="41">
        <f t="shared" si="135"/>
        <v>0</v>
      </c>
      <c r="AA283" s="41">
        <f t="shared" si="136"/>
        <v>0</v>
      </c>
      <c r="AB283" s="41">
        <f t="shared" si="137"/>
        <v>0</v>
      </c>
      <c r="AC283" s="41">
        <f t="shared" si="138"/>
        <v>0</v>
      </c>
      <c r="AD283" s="41">
        <f t="shared" si="139"/>
        <v>0</v>
      </c>
      <c r="AE283" s="41">
        <f t="shared" si="140"/>
        <v>0</v>
      </c>
      <c r="AF283" s="41">
        <f t="shared" si="141"/>
        <v>0</v>
      </c>
      <c r="AG283" s="41">
        <f t="shared" si="142"/>
        <v>0</v>
      </c>
      <c r="AH283" s="41">
        <f t="shared" si="143"/>
        <v>0</v>
      </c>
    </row>
    <row r="284" spans="2:34" ht="15" customHeight="1" x14ac:dyDescent="0.3">
      <c r="B284" s="60" t="s">
        <v>308</v>
      </c>
      <c r="C284" s="48">
        <v>0</v>
      </c>
      <c r="D284" s="48">
        <v>0</v>
      </c>
      <c r="E284" s="48">
        <v>0</v>
      </c>
      <c r="F284" s="48">
        <v>0</v>
      </c>
      <c r="G284" s="48">
        <v>0</v>
      </c>
      <c r="H284" s="48">
        <v>0</v>
      </c>
      <c r="I284" s="48">
        <v>0</v>
      </c>
      <c r="J284" s="49">
        <v>0</v>
      </c>
      <c r="K284" s="48">
        <f t="shared" si="122"/>
        <v>0</v>
      </c>
      <c r="L284" s="48">
        <v>0</v>
      </c>
      <c r="M284" s="48">
        <f t="shared" si="123"/>
        <v>0</v>
      </c>
      <c r="N284" s="41">
        <f t="shared" si="124"/>
        <v>0</v>
      </c>
      <c r="O284" s="41">
        <f t="shared" si="125"/>
        <v>0</v>
      </c>
      <c r="P284" s="41">
        <f t="shared" si="126"/>
        <v>0</v>
      </c>
      <c r="Q284" s="41">
        <f t="shared" si="127"/>
        <v>0</v>
      </c>
      <c r="R284" s="41">
        <f t="shared" si="128"/>
        <v>0</v>
      </c>
      <c r="S284" s="41">
        <f t="shared" si="129"/>
        <v>0</v>
      </c>
      <c r="T284" s="41">
        <f t="shared" si="130"/>
        <v>0</v>
      </c>
      <c r="U284" s="41">
        <f t="shared" si="131"/>
        <v>0</v>
      </c>
      <c r="V284" s="41">
        <f t="shared" si="132"/>
        <v>0</v>
      </c>
      <c r="W284" s="41">
        <f t="shared" si="133"/>
        <v>0</v>
      </c>
      <c r="X284" s="41">
        <f t="shared" si="134"/>
        <v>0</v>
      </c>
      <c r="Y284" s="41">
        <f t="shared" si="134"/>
        <v>0</v>
      </c>
      <c r="Z284" s="41">
        <f t="shared" si="135"/>
        <v>0</v>
      </c>
      <c r="AA284" s="41">
        <f t="shared" si="136"/>
        <v>0</v>
      </c>
      <c r="AB284" s="41">
        <f t="shared" si="137"/>
        <v>0</v>
      </c>
      <c r="AC284" s="41">
        <f t="shared" si="138"/>
        <v>0</v>
      </c>
      <c r="AD284" s="41">
        <f t="shared" si="139"/>
        <v>0</v>
      </c>
      <c r="AE284" s="41">
        <f t="shared" si="140"/>
        <v>0</v>
      </c>
      <c r="AF284" s="41">
        <f t="shared" si="141"/>
        <v>0</v>
      </c>
      <c r="AG284" s="41">
        <f t="shared" si="142"/>
        <v>0</v>
      </c>
      <c r="AH284" s="41">
        <f t="shared" si="143"/>
        <v>0</v>
      </c>
    </row>
    <row r="285" spans="2:34" ht="15" customHeight="1" x14ac:dyDescent="0.3">
      <c r="B285" s="60" t="s">
        <v>309</v>
      </c>
      <c r="C285" s="48">
        <v>0</v>
      </c>
      <c r="D285" s="48">
        <v>0</v>
      </c>
      <c r="E285" s="48">
        <v>0</v>
      </c>
      <c r="F285" s="48">
        <v>0</v>
      </c>
      <c r="G285" s="48">
        <v>0</v>
      </c>
      <c r="H285" s="48">
        <v>0</v>
      </c>
      <c r="I285" s="48">
        <v>0</v>
      </c>
      <c r="J285" s="49">
        <v>0</v>
      </c>
      <c r="K285" s="48">
        <f t="shared" si="122"/>
        <v>0</v>
      </c>
      <c r="L285" s="48">
        <v>0</v>
      </c>
      <c r="M285" s="48">
        <f t="shared" si="123"/>
        <v>0</v>
      </c>
      <c r="N285" s="41">
        <f t="shared" si="124"/>
        <v>0</v>
      </c>
      <c r="O285" s="41">
        <f t="shared" si="125"/>
        <v>0</v>
      </c>
      <c r="P285" s="41">
        <f t="shared" si="126"/>
        <v>0</v>
      </c>
      <c r="Q285" s="41">
        <f t="shared" si="127"/>
        <v>0</v>
      </c>
      <c r="R285" s="41">
        <f t="shared" si="128"/>
        <v>0</v>
      </c>
      <c r="S285" s="41">
        <f t="shared" si="129"/>
        <v>0</v>
      </c>
      <c r="T285" s="41">
        <f t="shared" si="130"/>
        <v>0</v>
      </c>
      <c r="U285" s="41">
        <f t="shared" si="131"/>
        <v>0</v>
      </c>
      <c r="V285" s="41">
        <f t="shared" si="132"/>
        <v>0</v>
      </c>
      <c r="W285" s="41">
        <f t="shared" si="133"/>
        <v>0</v>
      </c>
      <c r="X285" s="41">
        <f t="shared" si="134"/>
        <v>0</v>
      </c>
      <c r="Y285" s="41">
        <f t="shared" si="134"/>
        <v>0</v>
      </c>
      <c r="Z285" s="41">
        <f t="shared" si="135"/>
        <v>0</v>
      </c>
      <c r="AA285" s="41">
        <f t="shared" si="136"/>
        <v>0</v>
      </c>
      <c r="AB285" s="41">
        <f t="shared" si="137"/>
        <v>0</v>
      </c>
      <c r="AC285" s="41">
        <f t="shared" si="138"/>
        <v>0</v>
      </c>
      <c r="AD285" s="41">
        <f t="shared" si="139"/>
        <v>0</v>
      </c>
      <c r="AE285" s="41">
        <f t="shared" si="140"/>
        <v>0</v>
      </c>
      <c r="AF285" s="41">
        <f t="shared" si="141"/>
        <v>0</v>
      </c>
      <c r="AG285" s="41">
        <f t="shared" si="142"/>
        <v>0</v>
      </c>
      <c r="AH285" s="41">
        <f t="shared" si="143"/>
        <v>0</v>
      </c>
    </row>
    <row r="286" spans="2:34" ht="15" customHeight="1" x14ac:dyDescent="0.3">
      <c r="B286" s="60" t="s">
        <v>310</v>
      </c>
      <c r="C286" s="48">
        <v>296.87</v>
      </c>
      <c r="D286" s="48">
        <v>35.47</v>
      </c>
      <c r="E286" s="48">
        <v>0</v>
      </c>
      <c r="F286" s="48">
        <v>155.04</v>
      </c>
      <c r="G286" s="48">
        <v>26.83</v>
      </c>
      <c r="H286" s="48">
        <v>0</v>
      </c>
      <c r="I286" s="48">
        <v>0</v>
      </c>
      <c r="J286" s="49">
        <v>0</v>
      </c>
      <c r="K286" s="48">
        <f t="shared" si="122"/>
        <v>19.9404</v>
      </c>
      <c r="L286" s="48">
        <v>0</v>
      </c>
      <c r="M286" s="48">
        <f t="shared" si="123"/>
        <v>514.21</v>
      </c>
      <c r="N286" s="41">
        <f t="shared" si="124"/>
        <v>123.41040000000001</v>
      </c>
      <c r="O286" s="41">
        <f t="shared" si="125"/>
        <v>40.708293380699999</v>
      </c>
      <c r="P286" s="41">
        <f t="shared" si="126"/>
        <v>34.2806683807</v>
      </c>
      <c r="Q286" s="41">
        <f t="shared" si="127"/>
        <v>40.708293380699999</v>
      </c>
      <c r="R286" s="41">
        <f t="shared" si="128"/>
        <v>0</v>
      </c>
      <c r="S286" s="41">
        <f t="shared" si="129"/>
        <v>26.996024999999999</v>
      </c>
      <c r="T286" s="41">
        <f t="shared" si="130"/>
        <v>20.5684</v>
      </c>
      <c r="U286" s="41">
        <f t="shared" si="131"/>
        <v>10.2842</v>
      </c>
      <c r="V286" s="41">
        <f t="shared" si="132"/>
        <v>10.2842</v>
      </c>
      <c r="W286" s="41">
        <f t="shared" si="133"/>
        <v>20.5684</v>
      </c>
      <c r="X286" s="41">
        <f t="shared" si="134"/>
        <v>0</v>
      </c>
      <c r="Y286" s="41">
        <f t="shared" si="134"/>
        <v>0</v>
      </c>
      <c r="Z286" s="41">
        <f t="shared" si="135"/>
        <v>6.4276250000000008</v>
      </c>
      <c r="AA286" s="41">
        <f t="shared" si="136"/>
        <v>0</v>
      </c>
      <c r="AB286" s="41">
        <f t="shared" si="137"/>
        <v>25.710500000000003</v>
      </c>
      <c r="AC286" s="41">
        <f t="shared" si="138"/>
        <v>25.710500000000003</v>
      </c>
      <c r="AD286" s="41">
        <f t="shared" si="139"/>
        <v>25.710500000000003</v>
      </c>
      <c r="AE286" s="41">
        <f t="shared" si="140"/>
        <v>102.84200000000001</v>
      </c>
      <c r="AF286" s="41">
        <f t="shared" si="141"/>
        <v>0</v>
      </c>
      <c r="AG286" s="41">
        <f t="shared" si="142"/>
        <v>0</v>
      </c>
      <c r="AH286" s="41">
        <f t="shared" si="143"/>
        <v>0</v>
      </c>
    </row>
    <row r="287" spans="2:34" ht="15" customHeight="1" x14ac:dyDescent="0.3">
      <c r="B287" s="60" t="s">
        <v>311</v>
      </c>
      <c r="C287" s="48">
        <v>296.87</v>
      </c>
      <c r="D287" s="48">
        <v>35.47</v>
      </c>
      <c r="E287" s="48">
        <v>0</v>
      </c>
      <c r="F287" s="48">
        <v>155.04</v>
      </c>
      <c r="G287" s="48">
        <v>26.83</v>
      </c>
      <c r="H287" s="48">
        <v>0</v>
      </c>
      <c r="I287" s="48">
        <v>0</v>
      </c>
      <c r="J287" s="49">
        <v>0</v>
      </c>
      <c r="K287" s="48">
        <f t="shared" si="122"/>
        <v>19.9404</v>
      </c>
      <c r="L287" s="48">
        <v>0</v>
      </c>
      <c r="M287" s="48">
        <f t="shared" si="123"/>
        <v>514.21</v>
      </c>
      <c r="N287" s="41">
        <f t="shared" si="124"/>
        <v>123.41040000000001</v>
      </c>
      <c r="O287" s="41">
        <f t="shared" si="125"/>
        <v>40.708293380699999</v>
      </c>
      <c r="P287" s="41">
        <f t="shared" si="126"/>
        <v>34.2806683807</v>
      </c>
      <c r="Q287" s="41">
        <f t="shared" si="127"/>
        <v>40.708293380699999</v>
      </c>
      <c r="R287" s="41">
        <f t="shared" si="128"/>
        <v>0</v>
      </c>
      <c r="S287" s="41">
        <f t="shared" si="129"/>
        <v>26.996024999999999</v>
      </c>
      <c r="T287" s="41">
        <f t="shared" si="130"/>
        <v>20.5684</v>
      </c>
      <c r="U287" s="41">
        <f t="shared" si="131"/>
        <v>10.2842</v>
      </c>
      <c r="V287" s="41">
        <f t="shared" si="132"/>
        <v>10.2842</v>
      </c>
      <c r="W287" s="41">
        <f t="shared" si="133"/>
        <v>20.5684</v>
      </c>
      <c r="X287" s="41">
        <f t="shared" si="134"/>
        <v>0</v>
      </c>
      <c r="Y287" s="41">
        <f t="shared" si="134"/>
        <v>0</v>
      </c>
      <c r="Z287" s="41">
        <f t="shared" si="135"/>
        <v>6.4276250000000008</v>
      </c>
      <c r="AA287" s="41">
        <f t="shared" si="136"/>
        <v>0</v>
      </c>
      <c r="AB287" s="41">
        <f t="shared" si="137"/>
        <v>25.710500000000003</v>
      </c>
      <c r="AC287" s="41">
        <f t="shared" si="138"/>
        <v>25.710500000000003</v>
      </c>
      <c r="AD287" s="41">
        <f t="shared" si="139"/>
        <v>25.710500000000003</v>
      </c>
      <c r="AE287" s="41">
        <f t="shared" si="140"/>
        <v>102.84200000000001</v>
      </c>
      <c r="AF287" s="41">
        <f t="shared" si="141"/>
        <v>0</v>
      </c>
      <c r="AG287" s="41">
        <f t="shared" si="142"/>
        <v>0</v>
      </c>
      <c r="AH287" s="41">
        <f t="shared" si="143"/>
        <v>0</v>
      </c>
    </row>
    <row r="288" spans="2:34" ht="15" customHeight="1" x14ac:dyDescent="0.3">
      <c r="B288" s="60" t="s">
        <v>312</v>
      </c>
      <c r="C288" s="48">
        <v>0</v>
      </c>
      <c r="D288" s="48">
        <v>0</v>
      </c>
      <c r="E288" s="48">
        <v>0</v>
      </c>
      <c r="F288" s="48">
        <v>0</v>
      </c>
      <c r="G288" s="48">
        <v>0</v>
      </c>
      <c r="H288" s="48">
        <v>0</v>
      </c>
      <c r="I288" s="48">
        <v>0</v>
      </c>
      <c r="J288" s="49">
        <v>0</v>
      </c>
      <c r="K288" s="48">
        <f t="shared" si="122"/>
        <v>0</v>
      </c>
      <c r="L288" s="48">
        <v>0</v>
      </c>
      <c r="M288" s="48">
        <f t="shared" si="123"/>
        <v>0</v>
      </c>
      <c r="N288" s="41">
        <f t="shared" ref="N288:N299" si="144">M288*$N$15</f>
        <v>0</v>
      </c>
      <c r="O288" s="41">
        <f t="shared" ref="O288:O299" si="145">M288*$O$15</f>
        <v>0</v>
      </c>
      <c r="P288" s="41">
        <f t="shared" ref="P288:P299" si="146">M288*$P$15</f>
        <v>0</v>
      </c>
      <c r="Q288" s="41">
        <f t="shared" ref="Q288:Q299" si="147">M288*$Q$15</f>
        <v>0</v>
      </c>
      <c r="R288" s="41">
        <f t="shared" ref="R288:R299" si="148">M288*$R$15</f>
        <v>0</v>
      </c>
      <c r="S288" s="41">
        <f t="shared" ref="S288:S299" si="149">M288*$S$15</f>
        <v>0</v>
      </c>
      <c r="T288" s="41">
        <f t="shared" ref="T288:T299" si="150">M288*$T$15</f>
        <v>0</v>
      </c>
      <c r="U288" s="41">
        <f t="shared" ref="U288:U299" si="151">M288*$U$15</f>
        <v>0</v>
      </c>
      <c r="V288" s="41">
        <f t="shared" ref="V288:V299" si="152">M288*$U$15</f>
        <v>0</v>
      </c>
      <c r="W288" s="41">
        <f t="shared" ref="W288:W299" si="153">M288*$W$15</f>
        <v>0</v>
      </c>
      <c r="X288" s="41">
        <f t="shared" ref="X288:X299" si="154">M288*$X$15</f>
        <v>0</v>
      </c>
      <c r="Y288" s="41">
        <f t="shared" ref="Y288:Y299" si="155">N288*$X$15</f>
        <v>0</v>
      </c>
      <c r="Z288" s="41">
        <f t="shared" ref="Z288:Z299" si="156">M288*$Z$15</f>
        <v>0</v>
      </c>
      <c r="AA288" s="41">
        <f t="shared" ref="AA288:AA299" si="157">M288*$AA$15</f>
        <v>0</v>
      </c>
      <c r="AB288" s="41">
        <f t="shared" ref="AB288:AB299" si="158">M288*$AB$15</f>
        <v>0</v>
      </c>
      <c r="AC288" s="41">
        <f t="shared" ref="AC288:AC299" si="159">M288*$AC$15</f>
        <v>0</v>
      </c>
      <c r="AD288" s="41">
        <f t="shared" ref="AD288:AD299" si="160">M288*$AD$15</f>
        <v>0</v>
      </c>
      <c r="AE288" s="41">
        <f t="shared" ref="AE288:AE299" si="161">M288*$AE$15</f>
        <v>0</v>
      </c>
      <c r="AF288" s="41">
        <f t="shared" ref="AF288:AF299" si="162">L288*$AH$15</f>
        <v>0</v>
      </c>
      <c r="AG288" s="41">
        <f t="shared" ref="AG288:AG299" si="163">M288*$AG$15</f>
        <v>0</v>
      </c>
      <c r="AH288" s="41">
        <f t="shared" ref="AH288:AH299" si="164">M288*$AH$15</f>
        <v>0</v>
      </c>
    </row>
    <row r="289" spans="2:34" ht="15" customHeight="1" x14ac:dyDescent="0.3">
      <c r="B289" s="60" t="s">
        <v>313</v>
      </c>
      <c r="C289" s="48">
        <v>280.77999999999997</v>
      </c>
      <c r="D289" s="48">
        <v>0</v>
      </c>
      <c r="E289" s="48">
        <v>0</v>
      </c>
      <c r="F289" s="48">
        <v>163.98</v>
      </c>
      <c r="G289" s="48">
        <v>26.83</v>
      </c>
      <c r="H289" s="48">
        <v>0</v>
      </c>
      <c r="I289" s="48">
        <v>0</v>
      </c>
      <c r="J289" s="49">
        <v>0</v>
      </c>
      <c r="K289" s="48">
        <f t="shared" si="122"/>
        <v>16.846799999999998</v>
      </c>
      <c r="L289" s="48">
        <v>0</v>
      </c>
      <c r="M289" s="48">
        <f t="shared" si="123"/>
        <v>471.59</v>
      </c>
      <c r="N289" s="41">
        <f t="shared" si="144"/>
        <v>113.18159999999999</v>
      </c>
      <c r="O289" s="41">
        <f t="shared" si="145"/>
        <v>37.334209905299993</v>
      </c>
      <c r="P289" s="41">
        <f t="shared" si="146"/>
        <v>31.439334905299997</v>
      </c>
      <c r="Q289" s="41">
        <f t="shared" si="147"/>
        <v>37.334209905299993</v>
      </c>
      <c r="R289" s="41">
        <f t="shared" si="148"/>
        <v>0</v>
      </c>
      <c r="S289" s="41">
        <f t="shared" si="149"/>
        <v>24.758474999999997</v>
      </c>
      <c r="T289" s="41">
        <f t="shared" si="150"/>
        <v>18.863599999999998</v>
      </c>
      <c r="U289" s="41">
        <f t="shared" si="151"/>
        <v>9.4317999999999991</v>
      </c>
      <c r="V289" s="41">
        <f t="shared" si="152"/>
        <v>9.4317999999999991</v>
      </c>
      <c r="W289" s="41">
        <f t="shared" si="153"/>
        <v>18.863599999999998</v>
      </c>
      <c r="X289" s="41">
        <f t="shared" si="154"/>
        <v>0</v>
      </c>
      <c r="Y289" s="41">
        <f t="shared" si="155"/>
        <v>0</v>
      </c>
      <c r="Z289" s="41">
        <f t="shared" si="156"/>
        <v>5.8948749999999999</v>
      </c>
      <c r="AA289" s="41">
        <f t="shared" si="157"/>
        <v>0</v>
      </c>
      <c r="AB289" s="41">
        <f t="shared" si="158"/>
        <v>23.579499999999999</v>
      </c>
      <c r="AC289" s="41">
        <f t="shared" si="159"/>
        <v>23.579499999999999</v>
      </c>
      <c r="AD289" s="41">
        <f t="shared" si="160"/>
        <v>23.579499999999999</v>
      </c>
      <c r="AE289" s="41">
        <f t="shared" si="161"/>
        <v>94.317999999999998</v>
      </c>
      <c r="AF289" s="41">
        <f t="shared" si="162"/>
        <v>0</v>
      </c>
      <c r="AG289" s="41">
        <f t="shared" si="163"/>
        <v>0</v>
      </c>
      <c r="AH289" s="41">
        <f t="shared" si="164"/>
        <v>0</v>
      </c>
    </row>
    <row r="290" spans="2:34" ht="15" customHeight="1" x14ac:dyDescent="0.3">
      <c r="B290" s="60" t="s">
        <v>314</v>
      </c>
      <c r="C290" s="48">
        <v>274.02</v>
      </c>
      <c r="D290" s="48">
        <v>0</v>
      </c>
      <c r="E290" s="48">
        <v>0</v>
      </c>
      <c r="F290" s="48">
        <v>155.04</v>
      </c>
      <c r="G290" s="48">
        <v>26.83</v>
      </c>
      <c r="H290" s="48">
        <v>0</v>
      </c>
      <c r="I290" s="48">
        <v>0</v>
      </c>
      <c r="J290" s="49">
        <v>0</v>
      </c>
      <c r="K290" s="48">
        <f t="shared" si="122"/>
        <v>16.441199999999998</v>
      </c>
      <c r="L290" s="48">
        <v>0</v>
      </c>
      <c r="M290" s="48">
        <f t="shared" si="123"/>
        <v>455.88999999999993</v>
      </c>
      <c r="N290" s="41">
        <f t="shared" si="144"/>
        <v>109.41359999999997</v>
      </c>
      <c r="O290" s="41">
        <f t="shared" si="145"/>
        <v>36.091293186299993</v>
      </c>
      <c r="P290" s="41">
        <f t="shared" si="146"/>
        <v>30.392668186299993</v>
      </c>
      <c r="Q290" s="41">
        <f t="shared" si="147"/>
        <v>36.091293186299993</v>
      </c>
      <c r="R290" s="41">
        <f t="shared" si="148"/>
        <v>0</v>
      </c>
      <c r="S290" s="41">
        <f t="shared" si="149"/>
        <v>23.934224999999994</v>
      </c>
      <c r="T290" s="41">
        <f t="shared" si="150"/>
        <v>18.235599999999998</v>
      </c>
      <c r="U290" s="41">
        <f t="shared" si="151"/>
        <v>9.117799999999999</v>
      </c>
      <c r="V290" s="41">
        <f t="shared" si="152"/>
        <v>9.117799999999999</v>
      </c>
      <c r="W290" s="41">
        <f t="shared" si="153"/>
        <v>18.235599999999998</v>
      </c>
      <c r="X290" s="41">
        <f t="shared" si="154"/>
        <v>0</v>
      </c>
      <c r="Y290" s="41">
        <f t="shared" si="155"/>
        <v>0</v>
      </c>
      <c r="Z290" s="41">
        <f t="shared" si="156"/>
        <v>5.6986249999999998</v>
      </c>
      <c r="AA290" s="41">
        <f t="shared" si="157"/>
        <v>0</v>
      </c>
      <c r="AB290" s="41">
        <f t="shared" si="158"/>
        <v>22.794499999999999</v>
      </c>
      <c r="AC290" s="41">
        <f t="shared" si="159"/>
        <v>22.794499999999999</v>
      </c>
      <c r="AD290" s="41">
        <f t="shared" si="160"/>
        <v>22.794499999999999</v>
      </c>
      <c r="AE290" s="41">
        <f t="shared" si="161"/>
        <v>91.177999999999997</v>
      </c>
      <c r="AF290" s="41">
        <f t="shared" si="162"/>
        <v>0</v>
      </c>
      <c r="AG290" s="41">
        <f t="shared" si="163"/>
        <v>0</v>
      </c>
      <c r="AH290" s="41">
        <f t="shared" si="164"/>
        <v>0</v>
      </c>
    </row>
    <row r="291" spans="2:34" ht="15" customHeight="1" x14ac:dyDescent="0.3">
      <c r="B291" s="60" t="s">
        <v>314</v>
      </c>
      <c r="C291" s="48">
        <v>274.02</v>
      </c>
      <c r="D291" s="48">
        <f>33.18+4.56</f>
        <v>37.74</v>
      </c>
      <c r="E291" s="48">
        <v>0</v>
      </c>
      <c r="F291" s="48">
        <v>155.04</v>
      </c>
      <c r="G291" s="48">
        <v>26.83</v>
      </c>
      <c r="H291" s="48">
        <v>0</v>
      </c>
      <c r="I291" s="48">
        <v>0</v>
      </c>
      <c r="J291" s="49">
        <v>0</v>
      </c>
      <c r="K291" s="48">
        <f t="shared" si="122"/>
        <v>18.7056</v>
      </c>
      <c r="L291" s="48">
        <v>0</v>
      </c>
      <c r="M291" s="48">
        <f t="shared" si="123"/>
        <v>493.62999999999994</v>
      </c>
      <c r="N291" s="41">
        <f t="shared" si="144"/>
        <v>118.47119999999998</v>
      </c>
      <c r="O291" s="41">
        <f t="shared" si="145"/>
        <v>39.079043312099991</v>
      </c>
      <c r="P291" s="41">
        <f t="shared" si="146"/>
        <v>32.908668312099998</v>
      </c>
      <c r="Q291" s="41">
        <f t="shared" si="147"/>
        <v>39.079043312099991</v>
      </c>
      <c r="R291" s="41">
        <f t="shared" si="148"/>
        <v>0</v>
      </c>
      <c r="S291" s="41">
        <f t="shared" si="149"/>
        <v>25.915574999999997</v>
      </c>
      <c r="T291" s="41">
        <f t="shared" si="150"/>
        <v>19.745199999999997</v>
      </c>
      <c r="U291" s="41">
        <f t="shared" si="151"/>
        <v>9.8725999999999985</v>
      </c>
      <c r="V291" s="41">
        <f t="shared" si="152"/>
        <v>9.8725999999999985</v>
      </c>
      <c r="W291" s="41">
        <f t="shared" si="153"/>
        <v>19.745199999999997</v>
      </c>
      <c r="X291" s="41">
        <f t="shared" si="154"/>
        <v>0</v>
      </c>
      <c r="Y291" s="41">
        <f t="shared" si="155"/>
        <v>0</v>
      </c>
      <c r="Z291" s="41">
        <f t="shared" si="156"/>
        <v>6.1703749999999999</v>
      </c>
      <c r="AA291" s="41">
        <f t="shared" si="157"/>
        <v>0</v>
      </c>
      <c r="AB291" s="41">
        <f t="shared" si="158"/>
        <v>24.6815</v>
      </c>
      <c r="AC291" s="41">
        <f t="shared" si="159"/>
        <v>24.6815</v>
      </c>
      <c r="AD291" s="41">
        <f t="shared" si="160"/>
        <v>24.6815</v>
      </c>
      <c r="AE291" s="41">
        <f t="shared" si="161"/>
        <v>98.725999999999999</v>
      </c>
      <c r="AF291" s="41">
        <f t="shared" si="162"/>
        <v>0</v>
      </c>
      <c r="AG291" s="41">
        <f t="shared" si="163"/>
        <v>0</v>
      </c>
      <c r="AH291" s="41">
        <f t="shared" si="164"/>
        <v>0</v>
      </c>
    </row>
    <row r="292" spans="2:34" ht="15" customHeight="1" x14ac:dyDescent="0.3">
      <c r="B292" s="60" t="s">
        <v>314</v>
      </c>
      <c r="C292" s="48">
        <v>274.02</v>
      </c>
      <c r="D292" s="48">
        <v>0</v>
      </c>
      <c r="E292" s="48">
        <v>0</v>
      </c>
      <c r="F292" s="48">
        <v>155.04</v>
      </c>
      <c r="G292" s="48">
        <v>26.83</v>
      </c>
      <c r="H292" s="48">
        <v>0</v>
      </c>
      <c r="I292" s="48">
        <v>0</v>
      </c>
      <c r="J292" s="49">
        <v>0</v>
      </c>
      <c r="K292" s="48">
        <f t="shared" si="122"/>
        <v>16.441199999999998</v>
      </c>
      <c r="L292" s="48">
        <v>0</v>
      </c>
      <c r="M292" s="48">
        <f t="shared" si="123"/>
        <v>455.88999999999993</v>
      </c>
      <c r="N292" s="41">
        <f t="shared" si="144"/>
        <v>109.41359999999997</v>
      </c>
      <c r="O292" s="41">
        <f t="shared" si="145"/>
        <v>36.091293186299993</v>
      </c>
      <c r="P292" s="41">
        <f t="shared" si="146"/>
        <v>30.392668186299993</v>
      </c>
      <c r="Q292" s="41">
        <f t="shared" si="147"/>
        <v>36.091293186299993</v>
      </c>
      <c r="R292" s="41">
        <f t="shared" si="148"/>
        <v>0</v>
      </c>
      <c r="S292" s="41">
        <f t="shared" si="149"/>
        <v>23.934224999999994</v>
      </c>
      <c r="T292" s="41">
        <f t="shared" si="150"/>
        <v>18.235599999999998</v>
      </c>
      <c r="U292" s="41">
        <f t="shared" si="151"/>
        <v>9.117799999999999</v>
      </c>
      <c r="V292" s="41">
        <f t="shared" si="152"/>
        <v>9.117799999999999</v>
      </c>
      <c r="W292" s="41">
        <f t="shared" si="153"/>
        <v>18.235599999999998</v>
      </c>
      <c r="X292" s="41">
        <f t="shared" si="154"/>
        <v>0</v>
      </c>
      <c r="Y292" s="41">
        <f t="shared" si="155"/>
        <v>0</v>
      </c>
      <c r="Z292" s="41">
        <f t="shared" si="156"/>
        <v>5.6986249999999998</v>
      </c>
      <c r="AA292" s="41">
        <f t="shared" si="157"/>
        <v>0</v>
      </c>
      <c r="AB292" s="41">
        <f t="shared" si="158"/>
        <v>22.794499999999999</v>
      </c>
      <c r="AC292" s="41">
        <f t="shared" si="159"/>
        <v>22.794499999999999</v>
      </c>
      <c r="AD292" s="41">
        <f t="shared" si="160"/>
        <v>22.794499999999999</v>
      </c>
      <c r="AE292" s="41">
        <f t="shared" si="161"/>
        <v>91.177999999999997</v>
      </c>
      <c r="AF292" s="41">
        <f t="shared" si="162"/>
        <v>0</v>
      </c>
      <c r="AG292" s="41">
        <f t="shared" si="163"/>
        <v>0</v>
      </c>
      <c r="AH292" s="41">
        <f t="shared" si="164"/>
        <v>0</v>
      </c>
    </row>
    <row r="293" spans="2:34" ht="15" customHeight="1" x14ac:dyDescent="0.3">
      <c r="B293" s="60" t="s">
        <v>315</v>
      </c>
      <c r="C293" s="48">
        <v>0</v>
      </c>
      <c r="D293" s="48">
        <v>0</v>
      </c>
      <c r="E293" s="48">
        <v>0</v>
      </c>
      <c r="F293" s="48">
        <v>0</v>
      </c>
      <c r="G293" s="48">
        <v>0</v>
      </c>
      <c r="H293" s="48">
        <v>0</v>
      </c>
      <c r="I293" s="48">
        <v>0</v>
      </c>
      <c r="J293" s="49">
        <v>0</v>
      </c>
      <c r="K293" s="48">
        <f t="shared" si="122"/>
        <v>0</v>
      </c>
      <c r="L293" s="48">
        <v>0</v>
      </c>
      <c r="M293" s="48">
        <f t="shared" si="123"/>
        <v>0</v>
      </c>
      <c r="N293" s="41">
        <f t="shared" si="144"/>
        <v>0</v>
      </c>
      <c r="O293" s="41">
        <f t="shared" si="145"/>
        <v>0</v>
      </c>
      <c r="P293" s="41">
        <f t="shared" si="146"/>
        <v>0</v>
      </c>
      <c r="Q293" s="41">
        <f t="shared" si="147"/>
        <v>0</v>
      </c>
      <c r="R293" s="41">
        <f t="shared" si="148"/>
        <v>0</v>
      </c>
      <c r="S293" s="41">
        <f t="shared" si="149"/>
        <v>0</v>
      </c>
      <c r="T293" s="41">
        <f t="shared" si="150"/>
        <v>0</v>
      </c>
      <c r="U293" s="41">
        <f t="shared" si="151"/>
        <v>0</v>
      </c>
      <c r="V293" s="41">
        <f t="shared" si="152"/>
        <v>0</v>
      </c>
      <c r="W293" s="41">
        <f t="shared" si="153"/>
        <v>0</v>
      </c>
      <c r="X293" s="41">
        <f t="shared" si="154"/>
        <v>0</v>
      </c>
      <c r="Y293" s="41">
        <f t="shared" si="155"/>
        <v>0</v>
      </c>
      <c r="Z293" s="41">
        <f t="shared" si="156"/>
        <v>0</v>
      </c>
      <c r="AA293" s="41">
        <f t="shared" si="157"/>
        <v>0</v>
      </c>
      <c r="AB293" s="41">
        <f t="shared" si="158"/>
        <v>0</v>
      </c>
      <c r="AC293" s="41">
        <f t="shared" si="159"/>
        <v>0</v>
      </c>
      <c r="AD293" s="41">
        <f t="shared" si="160"/>
        <v>0</v>
      </c>
      <c r="AE293" s="41">
        <f t="shared" si="161"/>
        <v>0</v>
      </c>
      <c r="AF293" s="41">
        <f t="shared" si="162"/>
        <v>0</v>
      </c>
      <c r="AG293" s="41">
        <f t="shared" si="163"/>
        <v>0</v>
      </c>
      <c r="AH293" s="41">
        <f t="shared" si="164"/>
        <v>0</v>
      </c>
    </row>
    <row r="294" spans="2:34" ht="15" customHeight="1" x14ac:dyDescent="0.3">
      <c r="B294" s="60" t="s">
        <v>316</v>
      </c>
      <c r="C294" s="48">
        <v>0</v>
      </c>
      <c r="D294" s="48">
        <v>0</v>
      </c>
      <c r="E294" s="48">
        <v>0</v>
      </c>
      <c r="F294" s="48">
        <v>0</v>
      </c>
      <c r="G294" s="48">
        <v>0</v>
      </c>
      <c r="H294" s="48">
        <v>0</v>
      </c>
      <c r="I294" s="48">
        <v>0</v>
      </c>
      <c r="J294" s="49">
        <v>0</v>
      </c>
      <c r="K294" s="48">
        <f t="shared" si="122"/>
        <v>0</v>
      </c>
      <c r="L294" s="48">
        <v>0</v>
      </c>
      <c r="M294" s="48">
        <f t="shared" si="123"/>
        <v>0</v>
      </c>
      <c r="N294" s="41">
        <f t="shared" si="144"/>
        <v>0</v>
      </c>
      <c r="O294" s="41">
        <f t="shared" si="145"/>
        <v>0</v>
      </c>
      <c r="P294" s="41">
        <f t="shared" si="146"/>
        <v>0</v>
      </c>
      <c r="Q294" s="41">
        <f t="shared" si="147"/>
        <v>0</v>
      </c>
      <c r="R294" s="41">
        <f t="shared" si="148"/>
        <v>0</v>
      </c>
      <c r="S294" s="41">
        <f t="shared" si="149"/>
        <v>0</v>
      </c>
      <c r="T294" s="41">
        <f t="shared" si="150"/>
        <v>0</v>
      </c>
      <c r="U294" s="41">
        <f t="shared" si="151"/>
        <v>0</v>
      </c>
      <c r="V294" s="41">
        <f t="shared" si="152"/>
        <v>0</v>
      </c>
      <c r="W294" s="41">
        <f t="shared" si="153"/>
        <v>0</v>
      </c>
      <c r="X294" s="41">
        <f t="shared" si="154"/>
        <v>0</v>
      </c>
      <c r="Y294" s="41">
        <f t="shared" si="155"/>
        <v>0</v>
      </c>
      <c r="Z294" s="41">
        <f t="shared" si="156"/>
        <v>0</v>
      </c>
      <c r="AA294" s="41">
        <f t="shared" si="157"/>
        <v>0</v>
      </c>
      <c r="AB294" s="41">
        <f t="shared" si="158"/>
        <v>0</v>
      </c>
      <c r="AC294" s="41">
        <f t="shared" si="159"/>
        <v>0</v>
      </c>
      <c r="AD294" s="41">
        <f t="shared" si="160"/>
        <v>0</v>
      </c>
      <c r="AE294" s="41">
        <f t="shared" si="161"/>
        <v>0</v>
      </c>
      <c r="AF294" s="41">
        <f t="shared" si="162"/>
        <v>0</v>
      </c>
      <c r="AG294" s="41">
        <f t="shared" si="163"/>
        <v>0</v>
      </c>
      <c r="AH294" s="41">
        <f t="shared" si="164"/>
        <v>0</v>
      </c>
    </row>
    <row r="295" spans="2:34" ht="15" customHeight="1" x14ac:dyDescent="0.3">
      <c r="B295" s="60" t="s">
        <v>334</v>
      </c>
      <c r="C295" s="48">
        <v>0</v>
      </c>
      <c r="D295" s="48">
        <v>0</v>
      </c>
      <c r="E295" s="48">
        <v>0</v>
      </c>
      <c r="F295" s="48">
        <v>0</v>
      </c>
      <c r="G295" s="48">
        <v>0</v>
      </c>
      <c r="H295" s="48">
        <v>0</v>
      </c>
      <c r="I295" s="48">
        <v>0</v>
      </c>
      <c r="J295" s="49">
        <v>0</v>
      </c>
      <c r="K295" s="48">
        <f t="shared" si="122"/>
        <v>0</v>
      </c>
      <c r="L295" s="48">
        <v>0</v>
      </c>
      <c r="M295" s="48">
        <f t="shared" si="123"/>
        <v>0</v>
      </c>
      <c r="N295" s="41">
        <f t="shared" si="144"/>
        <v>0</v>
      </c>
      <c r="O295" s="41">
        <f t="shared" si="145"/>
        <v>0</v>
      </c>
      <c r="P295" s="41">
        <f t="shared" si="146"/>
        <v>0</v>
      </c>
      <c r="Q295" s="41">
        <f t="shared" si="147"/>
        <v>0</v>
      </c>
      <c r="R295" s="41">
        <f t="shared" si="148"/>
        <v>0</v>
      </c>
      <c r="S295" s="41">
        <f t="shared" si="149"/>
        <v>0</v>
      </c>
      <c r="T295" s="41">
        <f t="shared" si="150"/>
        <v>0</v>
      </c>
      <c r="U295" s="41">
        <f t="shared" si="151"/>
        <v>0</v>
      </c>
      <c r="V295" s="41">
        <f t="shared" si="152"/>
        <v>0</v>
      </c>
      <c r="W295" s="41">
        <f t="shared" si="153"/>
        <v>0</v>
      </c>
      <c r="X295" s="41">
        <f t="shared" si="154"/>
        <v>0</v>
      </c>
      <c r="Y295" s="41">
        <f t="shared" si="155"/>
        <v>0</v>
      </c>
      <c r="Z295" s="41">
        <f t="shared" si="156"/>
        <v>0</v>
      </c>
      <c r="AA295" s="41">
        <f t="shared" si="157"/>
        <v>0</v>
      </c>
      <c r="AB295" s="41">
        <f t="shared" si="158"/>
        <v>0</v>
      </c>
      <c r="AC295" s="41">
        <f t="shared" si="159"/>
        <v>0</v>
      </c>
      <c r="AD295" s="41">
        <f t="shared" si="160"/>
        <v>0</v>
      </c>
      <c r="AE295" s="41">
        <f t="shared" si="161"/>
        <v>0</v>
      </c>
      <c r="AF295" s="41">
        <f t="shared" si="162"/>
        <v>0</v>
      </c>
      <c r="AG295" s="41">
        <f t="shared" si="163"/>
        <v>0</v>
      </c>
      <c r="AH295" s="41">
        <f t="shared" si="164"/>
        <v>0</v>
      </c>
    </row>
    <row r="296" spans="2:34" ht="15" customHeight="1" x14ac:dyDescent="0.3">
      <c r="B296" s="60" t="s">
        <v>348</v>
      </c>
      <c r="C296" s="48">
        <v>0</v>
      </c>
      <c r="D296" s="48">
        <v>0</v>
      </c>
      <c r="E296" s="48">
        <v>0</v>
      </c>
      <c r="F296" s="48">
        <v>0</v>
      </c>
      <c r="G296" s="48">
        <v>0</v>
      </c>
      <c r="H296" s="48">
        <v>0</v>
      </c>
      <c r="I296" s="48">
        <v>0</v>
      </c>
      <c r="J296" s="49">
        <v>0</v>
      </c>
      <c r="K296" s="48">
        <f t="shared" si="122"/>
        <v>0</v>
      </c>
      <c r="L296" s="48">
        <v>0</v>
      </c>
      <c r="M296" s="48">
        <f t="shared" si="123"/>
        <v>0</v>
      </c>
      <c r="N296" s="41">
        <f t="shared" si="144"/>
        <v>0</v>
      </c>
      <c r="O296" s="41">
        <f t="shared" si="145"/>
        <v>0</v>
      </c>
      <c r="P296" s="41">
        <f t="shared" si="146"/>
        <v>0</v>
      </c>
      <c r="Q296" s="41">
        <f t="shared" si="147"/>
        <v>0</v>
      </c>
      <c r="R296" s="41">
        <f t="shared" si="148"/>
        <v>0</v>
      </c>
      <c r="S296" s="41">
        <f t="shared" si="149"/>
        <v>0</v>
      </c>
      <c r="T296" s="41">
        <f t="shared" si="150"/>
        <v>0</v>
      </c>
      <c r="U296" s="41">
        <f t="shared" si="151"/>
        <v>0</v>
      </c>
      <c r="V296" s="41">
        <f t="shared" si="152"/>
        <v>0</v>
      </c>
      <c r="W296" s="41">
        <f t="shared" si="153"/>
        <v>0</v>
      </c>
      <c r="X296" s="41">
        <f t="shared" si="154"/>
        <v>0</v>
      </c>
      <c r="Y296" s="41">
        <f t="shared" si="155"/>
        <v>0</v>
      </c>
      <c r="Z296" s="41">
        <f t="shared" si="156"/>
        <v>0</v>
      </c>
      <c r="AA296" s="41">
        <f t="shared" si="157"/>
        <v>0</v>
      </c>
      <c r="AB296" s="41">
        <f t="shared" si="158"/>
        <v>0</v>
      </c>
      <c r="AC296" s="41">
        <f t="shared" si="159"/>
        <v>0</v>
      </c>
      <c r="AD296" s="41">
        <f t="shared" si="160"/>
        <v>0</v>
      </c>
      <c r="AE296" s="41">
        <f t="shared" si="161"/>
        <v>0</v>
      </c>
      <c r="AF296" s="41">
        <f t="shared" si="162"/>
        <v>0</v>
      </c>
      <c r="AG296" s="41">
        <f t="shared" si="163"/>
        <v>0</v>
      </c>
      <c r="AH296" s="41">
        <f t="shared" si="164"/>
        <v>0</v>
      </c>
    </row>
    <row r="297" spans="2:34" ht="15" customHeight="1" x14ac:dyDescent="0.3">
      <c r="B297" s="60" t="s">
        <v>317</v>
      </c>
      <c r="C297" s="48">
        <v>0</v>
      </c>
      <c r="D297" s="48">
        <v>0</v>
      </c>
      <c r="E297" s="48">
        <v>0</v>
      </c>
      <c r="F297" s="48">
        <v>0</v>
      </c>
      <c r="G297" s="48">
        <v>0</v>
      </c>
      <c r="H297" s="48">
        <v>0</v>
      </c>
      <c r="I297" s="48">
        <v>0</v>
      </c>
      <c r="J297" s="49">
        <v>0</v>
      </c>
      <c r="K297" s="48">
        <f t="shared" si="122"/>
        <v>0</v>
      </c>
      <c r="L297" s="48">
        <v>0</v>
      </c>
      <c r="M297" s="48">
        <f t="shared" si="123"/>
        <v>0</v>
      </c>
      <c r="N297" s="41">
        <f t="shared" si="144"/>
        <v>0</v>
      </c>
      <c r="O297" s="41">
        <f t="shared" si="145"/>
        <v>0</v>
      </c>
      <c r="P297" s="41">
        <f t="shared" si="146"/>
        <v>0</v>
      </c>
      <c r="Q297" s="41">
        <f t="shared" si="147"/>
        <v>0</v>
      </c>
      <c r="R297" s="41">
        <f t="shared" si="148"/>
        <v>0</v>
      </c>
      <c r="S297" s="41">
        <f t="shared" si="149"/>
        <v>0</v>
      </c>
      <c r="T297" s="41">
        <f t="shared" si="150"/>
        <v>0</v>
      </c>
      <c r="U297" s="41">
        <f t="shared" si="151"/>
        <v>0</v>
      </c>
      <c r="V297" s="41">
        <f t="shared" si="152"/>
        <v>0</v>
      </c>
      <c r="W297" s="41">
        <f t="shared" si="153"/>
        <v>0</v>
      </c>
      <c r="X297" s="41">
        <f t="shared" si="154"/>
        <v>0</v>
      </c>
      <c r="Y297" s="41">
        <f t="shared" si="155"/>
        <v>0</v>
      </c>
      <c r="Z297" s="41">
        <f t="shared" si="156"/>
        <v>0</v>
      </c>
      <c r="AA297" s="41">
        <f t="shared" si="157"/>
        <v>0</v>
      </c>
      <c r="AB297" s="41">
        <f t="shared" si="158"/>
        <v>0</v>
      </c>
      <c r="AC297" s="41">
        <f t="shared" si="159"/>
        <v>0</v>
      </c>
      <c r="AD297" s="41">
        <f t="shared" si="160"/>
        <v>0</v>
      </c>
      <c r="AE297" s="41">
        <f t="shared" si="161"/>
        <v>0</v>
      </c>
      <c r="AF297" s="41">
        <f t="shared" si="162"/>
        <v>0</v>
      </c>
      <c r="AG297" s="41">
        <f t="shared" si="163"/>
        <v>0</v>
      </c>
      <c r="AH297" s="41">
        <f t="shared" si="164"/>
        <v>0</v>
      </c>
    </row>
    <row r="298" spans="2:34" ht="15" customHeight="1" x14ac:dyDescent="0.3">
      <c r="B298" s="60" t="s">
        <v>318</v>
      </c>
      <c r="C298" s="48">
        <v>232.82</v>
      </c>
      <c r="D298" s="48">
        <v>0</v>
      </c>
      <c r="E298" s="48">
        <v>0</v>
      </c>
      <c r="F298" s="48">
        <v>265.85000000000002</v>
      </c>
      <c r="G298" s="48">
        <v>39.159999999999997</v>
      </c>
      <c r="H298" s="48">
        <v>0</v>
      </c>
      <c r="I298" s="48">
        <v>0</v>
      </c>
      <c r="J298" s="49">
        <v>0</v>
      </c>
      <c r="K298" s="48">
        <f t="shared" si="122"/>
        <v>13.969199999999999</v>
      </c>
      <c r="L298" s="48">
        <v>0</v>
      </c>
      <c r="M298" s="48">
        <f t="shared" si="123"/>
        <v>537.83000000000004</v>
      </c>
      <c r="N298" s="41">
        <f t="shared" si="144"/>
        <v>129.07920000000001</v>
      </c>
      <c r="O298" s="41">
        <f t="shared" si="145"/>
        <v>42.578210126100004</v>
      </c>
      <c r="P298" s="41">
        <f t="shared" si="146"/>
        <v>35.855335126100002</v>
      </c>
      <c r="Q298" s="41">
        <f t="shared" si="147"/>
        <v>42.578210126100004</v>
      </c>
      <c r="R298" s="41">
        <f t="shared" si="148"/>
        <v>0</v>
      </c>
      <c r="S298" s="41">
        <f t="shared" si="149"/>
        <v>28.236075</v>
      </c>
      <c r="T298" s="41">
        <f t="shared" si="150"/>
        <v>21.513200000000001</v>
      </c>
      <c r="U298" s="41">
        <f t="shared" si="151"/>
        <v>10.756600000000001</v>
      </c>
      <c r="V298" s="41">
        <f t="shared" si="152"/>
        <v>10.756600000000001</v>
      </c>
      <c r="W298" s="41">
        <f t="shared" si="153"/>
        <v>21.513200000000001</v>
      </c>
      <c r="X298" s="41">
        <f t="shared" si="154"/>
        <v>0</v>
      </c>
      <c r="Y298" s="41">
        <f t="shared" si="155"/>
        <v>0</v>
      </c>
      <c r="Z298" s="41">
        <f t="shared" si="156"/>
        <v>6.722875000000001</v>
      </c>
      <c r="AA298" s="41">
        <f t="shared" si="157"/>
        <v>0</v>
      </c>
      <c r="AB298" s="41">
        <f t="shared" si="158"/>
        <v>26.891500000000004</v>
      </c>
      <c r="AC298" s="41">
        <f t="shared" si="159"/>
        <v>26.891500000000004</v>
      </c>
      <c r="AD298" s="41">
        <f t="shared" si="160"/>
        <v>26.891500000000004</v>
      </c>
      <c r="AE298" s="41">
        <f t="shared" si="161"/>
        <v>107.56600000000002</v>
      </c>
      <c r="AF298" s="41">
        <f t="shared" si="162"/>
        <v>0</v>
      </c>
      <c r="AG298" s="41">
        <f t="shared" si="163"/>
        <v>0</v>
      </c>
      <c r="AH298" s="41">
        <f t="shared" si="164"/>
        <v>0</v>
      </c>
    </row>
    <row r="299" spans="2:34" ht="15" customHeight="1" x14ac:dyDescent="0.3">
      <c r="B299" s="11" t="s">
        <v>319</v>
      </c>
      <c r="C299" s="48">
        <v>124.52</v>
      </c>
      <c r="D299" s="48">
        <v>0</v>
      </c>
      <c r="E299" s="48">
        <v>0</v>
      </c>
      <c r="F299" s="48">
        <v>133.71</v>
      </c>
      <c r="G299" s="48">
        <v>20.88</v>
      </c>
      <c r="H299" s="48">
        <v>0</v>
      </c>
      <c r="I299" s="48">
        <v>0</v>
      </c>
      <c r="J299" s="49">
        <v>0</v>
      </c>
      <c r="K299" s="48">
        <f t="shared" si="122"/>
        <v>7.4711999999999996</v>
      </c>
      <c r="L299" s="48">
        <v>0</v>
      </c>
      <c r="M299" s="48">
        <f t="shared" si="123"/>
        <v>279.11</v>
      </c>
      <c r="N299" s="41">
        <f t="shared" si="144"/>
        <v>66.986400000000003</v>
      </c>
      <c r="O299" s="41">
        <f t="shared" si="145"/>
        <v>22.0962092637</v>
      </c>
      <c r="P299" s="41">
        <f t="shared" si="146"/>
        <v>18.6073342637</v>
      </c>
      <c r="Q299" s="41">
        <f t="shared" si="147"/>
        <v>22.0962092637</v>
      </c>
      <c r="R299" s="41">
        <f t="shared" si="148"/>
        <v>0</v>
      </c>
      <c r="S299" s="41">
        <f t="shared" si="149"/>
        <v>14.653275000000001</v>
      </c>
      <c r="T299" s="41">
        <f t="shared" si="150"/>
        <v>11.164400000000001</v>
      </c>
      <c r="U299" s="41">
        <f t="shared" si="151"/>
        <v>5.5822000000000003</v>
      </c>
      <c r="V299" s="41">
        <f t="shared" si="152"/>
        <v>5.5822000000000003</v>
      </c>
      <c r="W299" s="41">
        <f t="shared" si="153"/>
        <v>11.164400000000001</v>
      </c>
      <c r="X299" s="41">
        <f t="shared" si="154"/>
        <v>0</v>
      </c>
      <c r="Y299" s="41">
        <f t="shared" si="155"/>
        <v>0</v>
      </c>
      <c r="Z299" s="41">
        <f t="shared" si="156"/>
        <v>3.4888750000000002</v>
      </c>
      <c r="AA299" s="41">
        <f t="shared" si="157"/>
        <v>0</v>
      </c>
      <c r="AB299" s="41">
        <f t="shared" si="158"/>
        <v>13.955500000000001</v>
      </c>
      <c r="AC299" s="41">
        <f t="shared" si="159"/>
        <v>13.955500000000001</v>
      </c>
      <c r="AD299" s="41">
        <f t="shared" si="160"/>
        <v>13.955500000000001</v>
      </c>
      <c r="AE299" s="41">
        <f t="shared" si="161"/>
        <v>55.822000000000003</v>
      </c>
      <c r="AF299" s="41">
        <f t="shared" si="162"/>
        <v>0</v>
      </c>
      <c r="AG299" s="41">
        <f t="shared" si="163"/>
        <v>0</v>
      </c>
      <c r="AH299" s="41">
        <f t="shared" si="164"/>
        <v>0</v>
      </c>
    </row>
    <row r="300" spans="2:34" ht="15" customHeight="1" x14ac:dyDescent="0.3">
      <c r="B300" s="11" t="s">
        <v>335</v>
      </c>
      <c r="C300" s="12">
        <v>264.26</v>
      </c>
      <c r="D300" s="12">
        <v>0</v>
      </c>
      <c r="E300" s="12">
        <v>0</v>
      </c>
      <c r="F300" s="48">
        <v>241.93</v>
      </c>
      <c r="G300" s="48">
        <v>39.159999999999997</v>
      </c>
      <c r="H300" s="12">
        <v>0</v>
      </c>
      <c r="I300" s="12">
        <v>0</v>
      </c>
      <c r="J300" s="13">
        <v>0</v>
      </c>
      <c r="K300" s="48">
        <f t="shared" si="122"/>
        <v>15.855599999999999</v>
      </c>
      <c r="L300" s="12">
        <v>0</v>
      </c>
      <c r="M300" s="48">
        <f t="shared" si="123"/>
        <v>545.35</v>
      </c>
      <c r="N300" s="41">
        <f t="shared" ref="N300:N301" si="165">M300*$N$15</f>
        <v>130.88400000000001</v>
      </c>
      <c r="O300" s="41">
        <f t="shared" ref="O300:O301" si="166">M300*$O$15</f>
        <v>43.173543484500001</v>
      </c>
      <c r="P300" s="41">
        <f t="shared" ref="P300:P301" si="167">M300*$P$15</f>
        <v>36.356668484499998</v>
      </c>
      <c r="Q300" s="41">
        <f t="shared" ref="Q300:Q301" si="168">M300*$Q$15</f>
        <v>43.173543484500001</v>
      </c>
      <c r="R300" s="41">
        <f t="shared" ref="R300:R301" si="169">M300*$R$15</f>
        <v>0</v>
      </c>
      <c r="S300" s="41">
        <f t="shared" ref="S300:S301" si="170">M300*$S$15</f>
        <v>28.630875</v>
      </c>
      <c r="T300" s="41">
        <f t="shared" ref="T300:T301" si="171">M300*$T$15</f>
        <v>21.814</v>
      </c>
      <c r="U300" s="41">
        <f t="shared" ref="U300:U301" si="172">M300*$U$15</f>
        <v>10.907</v>
      </c>
      <c r="V300" s="41">
        <f t="shared" ref="V300:V301" si="173">M300*$U$15</f>
        <v>10.907</v>
      </c>
      <c r="W300" s="41">
        <f t="shared" ref="W300:W301" si="174">M300*$W$15</f>
        <v>21.814</v>
      </c>
      <c r="X300" s="41">
        <f t="shared" ref="X300:Y301" si="175">M300*$X$15</f>
        <v>0</v>
      </c>
      <c r="Y300" s="41">
        <f t="shared" si="175"/>
        <v>0</v>
      </c>
      <c r="Z300" s="41">
        <f t="shared" ref="Z300:Z301" si="176">M300*$Z$15</f>
        <v>6.8168750000000005</v>
      </c>
      <c r="AA300" s="41">
        <f t="shared" ref="AA300:AA301" si="177">M300*$AA$15</f>
        <v>0</v>
      </c>
      <c r="AB300" s="41">
        <f t="shared" ref="AB300:AB301" si="178">M300*$AB$15</f>
        <v>27.267500000000002</v>
      </c>
      <c r="AC300" s="41">
        <f t="shared" ref="AC300:AC301" si="179">M300*$AC$15</f>
        <v>27.267500000000002</v>
      </c>
      <c r="AD300" s="41">
        <f t="shared" ref="AD300:AD301" si="180">M300*$AD$15</f>
        <v>27.267500000000002</v>
      </c>
      <c r="AE300" s="41">
        <f t="shared" ref="AE300:AE301" si="181">M300*$AE$15</f>
        <v>109.07000000000001</v>
      </c>
      <c r="AF300" s="41">
        <f t="shared" ref="AF300:AF301" si="182">L300*$AH$15</f>
        <v>0</v>
      </c>
      <c r="AG300" s="41">
        <f t="shared" ref="AG300:AG301" si="183">M300*$AG$15</f>
        <v>0</v>
      </c>
      <c r="AH300" s="41">
        <f t="shared" ref="AH300:AH301" si="184">M300*$AH$15</f>
        <v>0</v>
      </c>
    </row>
    <row r="301" spans="2:34" ht="15" customHeight="1" x14ac:dyDescent="0.3">
      <c r="B301" s="11" t="s">
        <v>320</v>
      </c>
      <c r="C301" s="12">
        <v>0</v>
      </c>
      <c r="D301" s="12">
        <v>0</v>
      </c>
      <c r="E301" s="12">
        <v>0</v>
      </c>
      <c r="F301" s="48">
        <v>0</v>
      </c>
      <c r="G301" s="12">
        <v>0</v>
      </c>
      <c r="H301" s="12">
        <v>0</v>
      </c>
      <c r="I301" s="12">
        <v>0</v>
      </c>
      <c r="J301" s="13">
        <v>0</v>
      </c>
      <c r="K301" s="48">
        <f t="shared" si="122"/>
        <v>0</v>
      </c>
      <c r="L301" s="12">
        <v>0</v>
      </c>
      <c r="M301" s="48">
        <f t="shared" si="123"/>
        <v>0</v>
      </c>
      <c r="N301" s="41">
        <f t="shared" si="165"/>
        <v>0</v>
      </c>
      <c r="O301" s="41">
        <f t="shared" si="166"/>
        <v>0</v>
      </c>
      <c r="P301" s="41">
        <f t="shared" si="167"/>
        <v>0</v>
      </c>
      <c r="Q301" s="41">
        <f t="shared" si="168"/>
        <v>0</v>
      </c>
      <c r="R301" s="41">
        <f t="shared" si="169"/>
        <v>0</v>
      </c>
      <c r="S301" s="41">
        <f t="shared" si="170"/>
        <v>0</v>
      </c>
      <c r="T301" s="41">
        <f t="shared" si="171"/>
        <v>0</v>
      </c>
      <c r="U301" s="41">
        <f t="shared" si="172"/>
        <v>0</v>
      </c>
      <c r="V301" s="41">
        <f t="shared" si="173"/>
        <v>0</v>
      </c>
      <c r="W301" s="41">
        <f t="shared" si="174"/>
        <v>0</v>
      </c>
      <c r="X301" s="41">
        <f t="shared" si="175"/>
        <v>0</v>
      </c>
      <c r="Y301" s="41">
        <f t="shared" si="175"/>
        <v>0</v>
      </c>
      <c r="Z301" s="41">
        <f t="shared" si="176"/>
        <v>0</v>
      </c>
      <c r="AA301" s="41">
        <f t="shared" si="177"/>
        <v>0</v>
      </c>
      <c r="AB301" s="41">
        <f t="shared" si="178"/>
        <v>0</v>
      </c>
      <c r="AC301" s="41">
        <f t="shared" si="179"/>
        <v>0</v>
      </c>
      <c r="AD301" s="41">
        <f t="shared" si="180"/>
        <v>0</v>
      </c>
      <c r="AE301" s="41">
        <f t="shared" si="181"/>
        <v>0</v>
      </c>
      <c r="AF301" s="41">
        <f t="shared" si="182"/>
        <v>0</v>
      </c>
      <c r="AG301" s="41">
        <f t="shared" si="183"/>
        <v>0</v>
      </c>
      <c r="AH301" s="41">
        <f t="shared" si="184"/>
        <v>0</v>
      </c>
    </row>
    <row r="302" spans="2:34" ht="15" customHeight="1" x14ac:dyDescent="0.3">
      <c r="B302" s="11" t="s">
        <v>371</v>
      </c>
      <c r="C302" s="12"/>
      <c r="D302" s="12"/>
      <c r="E302" s="12"/>
      <c r="F302" s="48"/>
      <c r="G302" s="12"/>
      <c r="H302" s="12"/>
      <c r="I302" s="12"/>
      <c r="J302" s="13"/>
      <c r="K302" s="48"/>
      <c r="L302" s="12"/>
      <c r="M302" s="48">
        <v>0</v>
      </c>
      <c r="N302" s="41">
        <v>0</v>
      </c>
      <c r="O302" s="41">
        <v>0</v>
      </c>
      <c r="P302" s="41">
        <v>0</v>
      </c>
      <c r="Q302" s="41">
        <v>0</v>
      </c>
      <c r="R302" s="41">
        <v>0</v>
      </c>
      <c r="S302" s="41">
        <v>0</v>
      </c>
      <c r="T302" s="41">
        <v>0</v>
      </c>
      <c r="U302" s="41">
        <v>0</v>
      </c>
      <c r="V302" s="41">
        <v>0</v>
      </c>
      <c r="W302" s="41">
        <v>0</v>
      </c>
      <c r="X302" s="41">
        <f>1913.4-73.34</f>
        <v>1840.0600000000002</v>
      </c>
      <c r="Y302" s="41">
        <v>0</v>
      </c>
      <c r="Z302" s="41">
        <v>0</v>
      </c>
      <c r="AA302" s="41">
        <v>0</v>
      </c>
      <c r="AB302" s="41">
        <v>0</v>
      </c>
      <c r="AC302" s="41">
        <v>0</v>
      </c>
      <c r="AD302" s="41">
        <v>0</v>
      </c>
      <c r="AE302" s="41">
        <v>0</v>
      </c>
      <c r="AF302" s="41">
        <v>0</v>
      </c>
      <c r="AG302" s="41">
        <v>0</v>
      </c>
      <c r="AH302" s="41">
        <v>0</v>
      </c>
    </row>
    <row r="303" spans="2:34" x14ac:dyDescent="0.35">
      <c r="B303" s="64" t="s">
        <v>11</v>
      </c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72">
        <f>SUM(M17:M301)+M13+M12+M11+M10</f>
        <v>550697.50000000023</v>
      </c>
      <c r="N303" s="72">
        <f t="shared" ref="N303:AH303" si="185">SUM(N17:N301)+N13+N12+N11+N10</f>
        <v>124254.23</v>
      </c>
      <c r="O303" s="72">
        <f t="shared" si="185"/>
        <v>19462.523361141291</v>
      </c>
      <c r="P303" s="72">
        <f t="shared" si="185"/>
        <v>16389.493486141298</v>
      </c>
      <c r="Q303" s="72">
        <f t="shared" si="185"/>
        <v>19462.523361141291</v>
      </c>
      <c r="R303" s="72">
        <f t="shared" si="185"/>
        <v>0</v>
      </c>
      <c r="S303" s="72">
        <f t="shared" si="185"/>
        <v>24678.489874999999</v>
      </c>
      <c r="T303" s="72">
        <f t="shared" si="185"/>
        <v>21605.459999999995</v>
      </c>
      <c r="U303" s="72">
        <f t="shared" si="185"/>
        <v>11013.949999999997</v>
      </c>
      <c r="V303" s="72">
        <f t="shared" si="185"/>
        <v>11013.949999999997</v>
      </c>
      <c r="W303" s="72">
        <f t="shared" si="185"/>
        <v>9833.6955999999973</v>
      </c>
      <c r="X303" s="72">
        <f t="shared" si="185"/>
        <v>0</v>
      </c>
      <c r="Y303" s="72">
        <f t="shared" si="185"/>
        <v>12194.204400000001</v>
      </c>
      <c r="Z303" s="72">
        <f t="shared" si="185"/>
        <v>3073.0298750000015</v>
      </c>
      <c r="AA303" s="72">
        <f t="shared" si="185"/>
        <v>14445.7855</v>
      </c>
      <c r="AB303" s="72">
        <f t="shared" si="185"/>
        <v>26737.905000000006</v>
      </c>
      <c r="AC303" s="72">
        <f t="shared" si="185"/>
        <v>26737.905000000006</v>
      </c>
      <c r="AD303" s="72">
        <f t="shared" si="185"/>
        <v>27534.875000000007</v>
      </c>
      <c r="AE303" s="72">
        <f t="shared" si="185"/>
        <v>49168.478000000025</v>
      </c>
      <c r="AF303" s="72">
        <f t="shared" si="185"/>
        <v>30485.510999999999</v>
      </c>
      <c r="AG303" s="72">
        <f t="shared" si="185"/>
        <v>30485.510999999999</v>
      </c>
      <c r="AH303" s="72">
        <f t="shared" si="185"/>
        <v>60971.021999999997</v>
      </c>
    </row>
  </sheetData>
  <mergeCells count="46">
    <mergeCell ref="AG15:AG16"/>
    <mergeCell ref="B2:AH4"/>
    <mergeCell ref="AA8:AA9"/>
    <mergeCell ref="AB8:AB9"/>
    <mergeCell ref="AC8:AC9"/>
    <mergeCell ref="X15:X16"/>
    <mergeCell ref="AH15:AH16"/>
    <mergeCell ref="Z15:Z16"/>
    <mergeCell ref="AA15:AA16"/>
    <mergeCell ref="AB15:AB16"/>
    <mergeCell ref="AC15:AC16"/>
    <mergeCell ref="AD15:AD16"/>
    <mergeCell ref="AE15:AE16"/>
    <mergeCell ref="W8:W9"/>
    <mergeCell ref="X8:X9"/>
    <mergeCell ref="Z8:Z9"/>
    <mergeCell ref="B5:AH6"/>
    <mergeCell ref="B7:M8"/>
    <mergeCell ref="O8:O9"/>
    <mergeCell ref="P8:P9"/>
    <mergeCell ref="Q8:Q9"/>
    <mergeCell ref="N8:N9"/>
    <mergeCell ref="AE8:AE9"/>
    <mergeCell ref="AH8:AH9"/>
    <mergeCell ref="R8:R9"/>
    <mergeCell ref="S8:S9"/>
    <mergeCell ref="T8:T9"/>
    <mergeCell ref="U8:U9"/>
    <mergeCell ref="AD8:AD9"/>
    <mergeCell ref="AF8:AF9"/>
    <mergeCell ref="V8:V9"/>
    <mergeCell ref="AG8:AG9"/>
    <mergeCell ref="B14:M15"/>
    <mergeCell ref="O15:O16"/>
    <mergeCell ref="P15:P16"/>
    <mergeCell ref="Q15:Q16"/>
    <mergeCell ref="N15:N16"/>
    <mergeCell ref="Y8:Y9"/>
    <mergeCell ref="Y15:Y16"/>
    <mergeCell ref="AF15:AF16"/>
    <mergeCell ref="R15:R16"/>
    <mergeCell ref="S15:S16"/>
    <mergeCell ref="T15:T16"/>
    <mergeCell ref="U15:U16"/>
    <mergeCell ref="W15:W16"/>
    <mergeCell ref="V15:V16"/>
  </mergeCells>
  <phoneticPr fontId="6" type="noConversion"/>
  <pageMargins left="0.51181102362204722" right="0.51181102362204722" top="0.78740157480314965" bottom="0.78740157480314965" header="0.31496062992125984" footer="0.31496062992125984"/>
  <pageSetup paperSize="9" scale="40" fitToHeight="8" orientation="landscape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H64"/>
  <sheetViews>
    <sheetView showGridLines="0" tabSelected="1" topLeftCell="A23" zoomScale="80" zoomScaleNormal="80" zoomScalePageLayoutView="84" workbookViewId="0">
      <selection activeCell="A35" sqref="A35"/>
    </sheetView>
  </sheetViews>
  <sheetFormatPr defaultColWidth="6.54296875" defaultRowHeight="14.5" x14ac:dyDescent="0.35"/>
  <cols>
    <col min="1" max="1" width="6.54296875" style="8" customWidth="1"/>
    <col min="2" max="2" width="50.1796875" style="8" customWidth="1"/>
    <col min="3" max="3" width="17.81640625" style="8" bestFit="1" customWidth="1"/>
    <col min="4" max="4" width="14.54296875" style="8" bestFit="1" customWidth="1"/>
    <col min="5" max="7" width="13.453125" style="8" bestFit="1" customWidth="1"/>
    <col min="8" max="8" width="11.7265625" style="8" bestFit="1" customWidth="1"/>
    <col min="9" max="11" width="13.453125" style="8" bestFit="1" customWidth="1"/>
    <col min="12" max="12" width="15" style="8" bestFit="1" customWidth="1"/>
    <col min="13" max="13" width="13.453125" style="8" bestFit="1" customWidth="1"/>
    <col min="14" max="14" width="11.7265625" style="8" bestFit="1" customWidth="1"/>
    <col min="15" max="15" width="13.453125" style="8" bestFit="1" customWidth="1"/>
    <col min="16" max="16" width="14.26953125" style="8" bestFit="1" customWidth="1"/>
    <col min="17" max="22" width="13.453125" style="8" bestFit="1" customWidth="1"/>
    <col min="23" max="23" width="13.81640625" style="8" bestFit="1" customWidth="1"/>
    <col min="24" max="24" width="13.453125" style="8" bestFit="1" customWidth="1"/>
    <col min="25" max="16384" width="6.54296875" style="8"/>
  </cols>
  <sheetData>
    <row r="2" spans="2:34" x14ac:dyDescent="0.35"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AA2" s="7"/>
      <c r="AB2" s="7"/>
      <c r="AC2" s="7"/>
      <c r="AD2" s="7"/>
      <c r="AE2" s="7"/>
      <c r="AF2" s="7"/>
      <c r="AG2" s="7"/>
      <c r="AH2" s="7"/>
    </row>
    <row r="3" spans="2:34" x14ac:dyDescent="0.35"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AA3" s="7"/>
      <c r="AB3" s="7"/>
      <c r="AC3" s="7"/>
      <c r="AD3" s="7"/>
      <c r="AE3" s="7"/>
      <c r="AF3" s="7"/>
      <c r="AG3" s="7"/>
      <c r="AH3" s="7"/>
    </row>
    <row r="4" spans="2:34" x14ac:dyDescent="0.35"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AA4" s="7"/>
      <c r="AB4" s="7"/>
      <c r="AC4" s="7"/>
      <c r="AD4" s="7"/>
      <c r="AE4" s="7"/>
      <c r="AF4" s="7"/>
      <c r="AG4" s="7"/>
      <c r="AH4" s="7"/>
    </row>
    <row r="5" spans="2:34" ht="14.5" customHeight="1" x14ac:dyDescent="0.35">
      <c r="B5" s="85" t="s">
        <v>378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AA5" s="7"/>
      <c r="AB5" s="7"/>
      <c r="AC5" s="7"/>
      <c r="AD5" s="7"/>
      <c r="AE5" s="7"/>
      <c r="AF5" s="7"/>
      <c r="AG5" s="7"/>
      <c r="AH5" s="7"/>
    </row>
    <row r="6" spans="2:34" ht="14.5" customHeight="1" x14ac:dyDescent="0.35"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AA6" s="7"/>
      <c r="AB6" s="7"/>
      <c r="AC6" s="7"/>
      <c r="AD6" s="7"/>
      <c r="AE6" s="7"/>
      <c r="AF6" s="7"/>
      <c r="AG6" s="7"/>
      <c r="AH6" s="7"/>
    </row>
    <row r="7" spans="2:34" ht="15" customHeight="1" x14ac:dyDescent="0.35">
      <c r="B7" s="96" t="s">
        <v>70</v>
      </c>
      <c r="C7" s="97" t="s">
        <v>71</v>
      </c>
      <c r="D7" s="16" t="s">
        <v>355</v>
      </c>
      <c r="E7" s="16" t="s">
        <v>56</v>
      </c>
      <c r="F7" s="16" t="s">
        <v>57</v>
      </c>
      <c r="G7" s="16" t="s">
        <v>58</v>
      </c>
      <c r="H7" s="16" t="s">
        <v>59</v>
      </c>
      <c r="I7" s="16" t="s">
        <v>60</v>
      </c>
      <c r="J7" s="16" t="s">
        <v>61</v>
      </c>
      <c r="K7" s="16" t="s">
        <v>352</v>
      </c>
      <c r="L7" s="16" t="s">
        <v>353</v>
      </c>
      <c r="M7" s="16" t="s">
        <v>62</v>
      </c>
      <c r="N7" s="16" t="s">
        <v>63</v>
      </c>
      <c r="O7" s="16" t="s">
        <v>367</v>
      </c>
      <c r="P7" s="16" t="s">
        <v>117</v>
      </c>
      <c r="Q7" s="16" t="s">
        <v>64</v>
      </c>
      <c r="R7" s="16" t="s">
        <v>65</v>
      </c>
      <c r="S7" s="16" t="s">
        <v>72</v>
      </c>
      <c r="T7" s="16" t="s">
        <v>67</v>
      </c>
      <c r="U7" s="16" t="s">
        <v>68</v>
      </c>
      <c r="V7" s="16" t="s">
        <v>339</v>
      </c>
      <c r="W7" s="21" t="s">
        <v>362</v>
      </c>
      <c r="X7" s="16" t="s">
        <v>69</v>
      </c>
      <c r="AA7" s="7"/>
      <c r="AB7" s="7"/>
      <c r="AC7" s="7"/>
      <c r="AD7" s="7"/>
      <c r="AE7" s="7"/>
      <c r="AF7" s="7"/>
      <c r="AG7" s="7"/>
      <c r="AH7" s="7"/>
    </row>
    <row r="8" spans="2:34" ht="15" customHeight="1" x14ac:dyDescent="0.35">
      <c r="B8" s="96"/>
      <c r="C8" s="97"/>
      <c r="D8" s="17">
        <v>0.24</v>
      </c>
      <c r="E8" s="18">
        <v>7.9166669999999995E-2</v>
      </c>
      <c r="F8" s="18">
        <v>6.6666669999999997E-2</v>
      </c>
      <c r="G8" s="18">
        <v>7.9166669999999995E-2</v>
      </c>
      <c r="H8" s="19">
        <v>0</v>
      </c>
      <c r="I8" s="19">
        <v>5.2499999999999998E-2</v>
      </c>
      <c r="J8" s="17">
        <v>0.04</v>
      </c>
      <c r="K8" s="17">
        <v>0.02</v>
      </c>
      <c r="L8" s="17">
        <v>0.02</v>
      </c>
      <c r="M8" s="17">
        <v>0.04</v>
      </c>
      <c r="N8" s="17">
        <v>0</v>
      </c>
      <c r="O8" s="17">
        <v>0</v>
      </c>
      <c r="P8" s="19">
        <v>1.2500000000000001E-2</v>
      </c>
      <c r="Q8" s="17">
        <v>0</v>
      </c>
      <c r="R8" s="17">
        <v>0.05</v>
      </c>
      <c r="S8" s="17">
        <v>0.05</v>
      </c>
      <c r="T8" s="17">
        <v>0.05</v>
      </c>
      <c r="U8" s="17">
        <v>0.2</v>
      </c>
      <c r="V8" s="20">
        <v>0</v>
      </c>
      <c r="W8" s="20">
        <v>0</v>
      </c>
      <c r="X8" s="20">
        <v>0</v>
      </c>
      <c r="AA8" s="7"/>
      <c r="AB8" s="7"/>
      <c r="AC8" s="7"/>
      <c r="AD8" s="7"/>
      <c r="AE8" s="7"/>
      <c r="AF8" s="7"/>
      <c r="AG8" s="7"/>
      <c r="AH8" s="7"/>
    </row>
    <row r="9" spans="2:34" ht="15" customHeight="1" x14ac:dyDescent="0.35">
      <c r="B9" s="36" t="s">
        <v>73</v>
      </c>
      <c r="C9" s="28">
        <f>SUM(Receitas!K12:K296)</f>
        <v>7751.1354000000047</v>
      </c>
      <c r="D9" s="41">
        <f>C9*$D$8</f>
        <v>1860.272496000001</v>
      </c>
      <c r="E9" s="41">
        <f t="shared" ref="E9:X9" si="0">$C$9*E8</f>
        <v>613.6315783371183</v>
      </c>
      <c r="F9" s="41">
        <f t="shared" si="0"/>
        <v>516.74238583711826</v>
      </c>
      <c r="G9" s="41">
        <f t="shared" si="0"/>
        <v>613.6315783371183</v>
      </c>
      <c r="H9" s="41">
        <f t="shared" si="0"/>
        <v>0</v>
      </c>
      <c r="I9" s="41">
        <f t="shared" si="0"/>
        <v>406.93460850000025</v>
      </c>
      <c r="J9" s="41">
        <f t="shared" si="0"/>
        <v>310.04541600000022</v>
      </c>
      <c r="K9" s="41">
        <f t="shared" si="0"/>
        <v>155.02270800000011</v>
      </c>
      <c r="L9" s="41">
        <f t="shared" si="0"/>
        <v>155.02270800000011</v>
      </c>
      <c r="M9" s="41">
        <f t="shared" si="0"/>
        <v>310.04541600000022</v>
      </c>
      <c r="N9" s="41">
        <f t="shared" si="0"/>
        <v>0</v>
      </c>
      <c r="O9" s="41">
        <f t="shared" ref="O9" si="1">$C$9*O8</f>
        <v>0</v>
      </c>
      <c r="P9" s="41">
        <f t="shared" si="0"/>
        <v>96.889192500000064</v>
      </c>
      <c r="Q9" s="41">
        <f t="shared" si="0"/>
        <v>0</v>
      </c>
      <c r="R9" s="41">
        <f t="shared" si="0"/>
        <v>387.55677000000026</v>
      </c>
      <c r="S9" s="41">
        <f t="shared" si="0"/>
        <v>387.55677000000026</v>
      </c>
      <c r="T9" s="41">
        <f t="shared" si="0"/>
        <v>387.55677000000026</v>
      </c>
      <c r="U9" s="41">
        <f t="shared" si="0"/>
        <v>1550.227080000001</v>
      </c>
      <c r="V9" s="41">
        <f t="shared" si="0"/>
        <v>0</v>
      </c>
      <c r="W9" s="41">
        <f t="shared" si="0"/>
        <v>0</v>
      </c>
      <c r="X9" s="41">
        <f t="shared" si="0"/>
        <v>0</v>
      </c>
      <c r="AA9" s="7"/>
      <c r="AB9" s="9"/>
      <c r="AC9" s="7"/>
    </row>
    <row r="10" spans="2:34" x14ac:dyDescent="0.35">
      <c r="B10" s="37" t="s">
        <v>74</v>
      </c>
      <c r="C10" s="29">
        <f>C11*3%</f>
        <v>5406.4209000000001</v>
      </c>
      <c r="D10" s="41">
        <f t="shared" ref="D10:D13" si="2">C10*$D$8</f>
        <v>1297.5410159999999</v>
      </c>
      <c r="E10" s="41">
        <f t="shared" ref="E10:X10" si="3">$C$10*E8</f>
        <v>428.00833927140297</v>
      </c>
      <c r="F10" s="41">
        <f t="shared" si="3"/>
        <v>360.428078021403</v>
      </c>
      <c r="G10" s="41">
        <f t="shared" si="3"/>
        <v>428.00833927140297</v>
      </c>
      <c r="H10" s="41">
        <f t="shared" si="3"/>
        <v>0</v>
      </c>
      <c r="I10" s="41">
        <f t="shared" si="3"/>
        <v>283.83709725</v>
      </c>
      <c r="J10" s="41">
        <f t="shared" si="3"/>
        <v>216.25683600000002</v>
      </c>
      <c r="K10" s="41">
        <f t="shared" si="3"/>
        <v>108.12841800000001</v>
      </c>
      <c r="L10" s="41">
        <f t="shared" si="3"/>
        <v>108.12841800000001</v>
      </c>
      <c r="M10" s="41">
        <f t="shared" si="3"/>
        <v>216.25683600000002</v>
      </c>
      <c r="N10" s="41">
        <f t="shared" si="3"/>
        <v>0</v>
      </c>
      <c r="O10" s="41">
        <f t="shared" ref="O10" si="4">$C$10*O8</f>
        <v>0</v>
      </c>
      <c r="P10" s="41">
        <f t="shared" si="3"/>
        <v>67.580261250000007</v>
      </c>
      <c r="Q10" s="41">
        <f t="shared" si="3"/>
        <v>0</v>
      </c>
      <c r="R10" s="41">
        <f t="shared" si="3"/>
        <v>270.32104500000003</v>
      </c>
      <c r="S10" s="41">
        <f t="shared" si="3"/>
        <v>270.32104500000003</v>
      </c>
      <c r="T10" s="41">
        <f t="shared" si="3"/>
        <v>270.32104500000003</v>
      </c>
      <c r="U10" s="41">
        <f t="shared" si="3"/>
        <v>1081.2841800000001</v>
      </c>
      <c r="V10" s="41">
        <f t="shared" si="3"/>
        <v>0</v>
      </c>
      <c r="W10" s="41">
        <f t="shared" si="3"/>
        <v>0</v>
      </c>
      <c r="X10" s="41">
        <f t="shared" si="3"/>
        <v>0</v>
      </c>
      <c r="AA10" s="7"/>
      <c r="AB10" s="7"/>
      <c r="AC10" s="7"/>
    </row>
    <row r="11" spans="2:34" x14ac:dyDescent="0.35">
      <c r="B11" s="37" t="s">
        <v>360</v>
      </c>
      <c r="C11" s="29">
        <f>19440.6+160773.43</f>
        <v>180214.03</v>
      </c>
      <c r="D11" s="41">
        <f t="shared" si="2"/>
        <v>43251.367200000001</v>
      </c>
      <c r="E11" s="41">
        <f t="shared" ref="E11:X11" si="5">$C$11*E8</f>
        <v>14266.944642380098</v>
      </c>
      <c r="F11" s="41">
        <f t="shared" si="5"/>
        <v>12014.269267380099</v>
      </c>
      <c r="G11" s="41">
        <f t="shared" si="5"/>
        <v>14266.944642380098</v>
      </c>
      <c r="H11" s="41">
        <f t="shared" si="5"/>
        <v>0</v>
      </c>
      <c r="I11" s="41">
        <f t="shared" si="5"/>
        <v>9461.236574999999</v>
      </c>
      <c r="J11" s="41">
        <f t="shared" si="5"/>
        <v>7208.5612000000001</v>
      </c>
      <c r="K11" s="41">
        <f t="shared" si="5"/>
        <v>3604.2806</v>
      </c>
      <c r="L11" s="41">
        <f t="shared" si="5"/>
        <v>3604.2806</v>
      </c>
      <c r="M11" s="41">
        <f t="shared" si="5"/>
        <v>7208.5612000000001</v>
      </c>
      <c r="N11" s="41">
        <f t="shared" si="5"/>
        <v>0</v>
      </c>
      <c r="O11" s="41">
        <f t="shared" ref="O11" si="6">$C$11*O8</f>
        <v>0</v>
      </c>
      <c r="P11" s="41">
        <f t="shared" si="5"/>
        <v>2252.6753750000003</v>
      </c>
      <c r="Q11" s="41">
        <f t="shared" si="5"/>
        <v>0</v>
      </c>
      <c r="R11" s="41">
        <f t="shared" si="5"/>
        <v>9010.701500000001</v>
      </c>
      <c r="S11" s="41">
        <f t="shared" si="5"/>
        <v>9010.701500000001</v>
      </c>
      <c r="T11" s="41">
        <f t="shared" si="5"/>
        <v>9010.701500000001</v>
      </c>
      <c r="U11" s="41">
        <f t="shared" si="5"/>
        <v>36042.806000000004</v>
      </c>
      <c r="V11" s="41">
        <f t="shared" si="5"/>
        <v>0</v>
      </c>
      <c r="W11" s="41">
        <f t="shared" si="5"/>
        <v>0</v>
      </c>
      <c r="X11" s="41">
        <f t="shared" si="5"/>
        <v>0</v>
      </c>
      <c r="AA11" s="7"/>
      <c r="AB11" s="7"/>
      <c r="AC11" s="7"/>
    </row>
    <row r="12" spans="2:34" x14ac:dyDescent="0.35">
      <c r="B12" s="37" t="s">
        <v>75</v>
      </c>
      <c r="C12" s="29">
        <v>0</v>
      </c>
      <c r="D12" s="41">
        <f t="shared" si="2"/>
        <v>0</v>
      </c>
      <c r="E12" s="41">
        <f t="shared" ref="E12:X12" si="7">$C$12*E8</f>
        <v>0</v>
      </c>
      <c r="F12" s="41">
        <f t="shared" si="7"/>
        <v>0</v>
      </c>
      <c r="G12" s="41">
        <f t="shared" si="7"/>
        <v>0</v>
      </c>
      <c r="H12" s="41">
        <f t="shared" si="7"/>
        <v>0</v>
      </c>
      <c r="I12" s="41">
        <f t="shared" si="7"/>
        <v>0</v>
      </c>
      <c r="J12" s="41">
        <f t="shared" si="7"/>
        <v>0</v>
      </c>
      <c r="K12" s="41">
        <f t="shared" si="7"/>
        <v>0</v>
      </c>
      <c r="L12" s="41">
        <f t="shared" si="7"/>
        <v>0</v>
      </c>
      <c r="M12" s="41">
        <f t="shared" si="7"/>
        <v>0</v>
      </c>
      <c r="N12" s="41">
        <f t="shared" si="7"/>
        <v>0</v>
      </c>
      <c r="O12" s="41">
        <f t="shared" ref="O12" si="8">$C$12*O8</f>
        <v>0</v>
      </c>
      <c r="P12" s="41">
        <f t="shared" si="7"/>
        <v>0</v>
      </c>
      <c r="Q12" s="41">
        <f t="shared" si="7"/>
        <v>0</v>
      </c>
      <c r="R12" s="41">
        <f t="shared" si="7"/>
        <v>0</v>
      </c>
      <c r="S12" s="41">
        <f t="shared" si="7"/>
        <v>0</v>
      </c>
      <c r="T12" s="41">
        <f t="shared" si="7"/>
        <v>0</v>
      </c>
      <c r="U12" s="41">
        <f t="shared" si="7"/>
        <v>0</v>
      </c>
      <c r="V12" s="41">
        <f t="shared" si="7"/>
        <v>0</v>
      </c>
      <c r="W12" s="41">
        <f t="shared" si="7"/>
        <v>0</v>
      </c>
      <c r="X12" s="41">
        <f t="shared" si="7"/>
        <v>0</v>
      </c>
      <c r="AA12" s="7"/>
      <c r="AB12" s="7"/>
      <c r="AC12" s="7"/>
    </row>
    <row r="13" spans="2:34" x14ac:dyDescent="0.35">
      <c r="B13" s="37" t="s">
        <v>376</v>
      </c>
      <c r="C13" s="29">
        <v>0</v>
      </c>
      <c r="D13" s="41">
        <f t="shared" si="2"/>
        <v>0</v>
      </c>
      <c r="E13" s="41">
        <f t="shared" ref="E13:X13" si="9">$C$13*E8</f>
        <v>0</v>
      </c>
      <c r="F13" s="41">
        <f t="shared" si="9"/>
        <v>0</v>
      </c>
      <c r="G13" s="41">
        <f t="shared" si="9"/>
        <v>0</v>
      </c>
      <c r="H13" s="41">
        <f t="shared" si="9"/>
        <v>0</v>
      </c>
      <c r="I13" s="41">
        <f t="shared" si="9"/>
        <v>0</v>
      </c>
      <c r="J13" s="41">
        <f t="shared" si="9"/>
        <v>0</v>
      </c>
      <c r="K13" s="41">
        <f t="shared" si="9"/>
        <v>0</v>
      </c>
      <c r="L13" s="41">
        <f t="shared" si="9"/>
        <v>0</v>
      </c>
      <c r="M13" s="41">
        <f t="shared" si="9"/>
        <v>0</v>
      </c>
      <c r="N13" s="41">
        <f t="shared" si="9"/>
        <v>0</v>
      </c>
      <c r="O13" s="41">
        <f t="shared" ref="O13" si="10">$C$13*O8</f>
        <v>0</v>
      </c>
      <c r="P13" s="41">
        <f t="shared" si="9"/>
        <v>0</v>
      </c>
      <c r="Q13" s="41">
        <f t="shared" si="9"/>
        <v>0</v>
      </c>
      <c r="R13" s="41">
        <f t="shared" si="9"/>
        <v>0</v>
      </c>
      <c r="S13" s="41">
        <f t="shared" si="9"/>
        <v>0</v>
      </c>
      <c r="T13" s="41">
        <f t="shared" si="9"/>
        <v>0</v>
      </c>
      <c r="U13" s="41">
        <f t="shared" si="9"/>
        <v>0</v>
      </c>
      <c r="V13" s="41">
        <f t="shared" si="9"/>
        <v>0</v>
      </c>
      <c r="W13" s="41">
        <f t="shared" si="9"/>
        <v>0</v>
      </c>
      <c r="X13" s="41">
        <f t="shared" si="9"/>
        <v>0</v>
      </c>
      <c r="AA13" s="7"/>
      <c r="AB13" s="7"/>
      <c r="AC13" s="7"/>
    </row>
    <row r="14" spans="2:34" x14ac:dyDescent="0.35">
      <c r="B14" s="67" t="s">
        <v>76</v>
      </c>
      <c r="C14" s="66">
        <f t="shared" ref="C14:X14" si="11">SUM(C9:C13)</f>
        <v>193371.5863</v>
      </c>
      <c r="D14" s="66">
        <f t="shared" si="11"/>
        <v>46409.180712000001</v>
      </c>
      <c r="E14" s="66">
        <f t="shared" si="11"/>
        <v>15308.58455998862</v>
      </c>
      <c r="F14" s="66">
        <f t="shared" si="11"/>
        <v>12891.439731238621</v>
      </c>
      <c r="G14" s="66">
        <f t="shared" si="11"/>
        <v>15308.58455998862</v>
      </c>
      <c r="H14" s="66">
        <f t="shared" si="11"/>
        <v>0</v>
      </c>
      <c r="I14" s="66">
        <f t="shared" si="11"/>
        <v>10152.008280749998</v>
      </c>
      <c r="J14" s="66">
        <f t="shared" si="11"/>
        <v>7734.8634520000005</v>
      </c>
      <c r="K14" s="66">
        <f t="shared" si="11"/>
        <v>3867.4317260000003</v>
      </c>
      <c r="L14" s="66">
        <f t="shared" si="11"/>
        <v>3867.4317260000003</v>
      </c>
      <c r="M14" s="66">
        <f t="shared" si="11"/>
        <v>7734.8634520000005</v>
      </c>
      <c r="N14" s="66">
        <f t="shared" si="11"/>
        <v>0</v>
      </c>
      <c r="O14" s="66">
        <f t="shared" si="11"/>
        <v>0</v>
      </c>
      <c r="P14" s="66">
        <f t="shared" si="11"/>
        <v>2417.1448287500002</v>
      </c>
      <c r="Q14" s="66">
        <f t="shared" si="11"/>
        <v>0</v>
      </c>
      <c r="R14" s="66">
        <f t="shared" si="11"/>
        <v>9668.5793150000009</v>
      </c>
      <c r="S14" s="66">
        <f t="shared" si="11"/>
        <v>9668.5793150000009</v>
      </c>
      <c r="T14" s="66">
        <f t="shared" si="11"/>
        <v>9668.5793150000009</v>
      </c>
      <c r="U14" s="66">
        <f t="shared" si="11"/>
        <v>38674.317260000003</v>
      </c>
      <c r="V14" s="66">
        <f t="shared" si="11"/>
        <v>0</v>
      </c>
      <c r="W14" s="66">
        <f t="shared" si="11"/>
        <v>0</v>
      </c>
      <c r="X14" s="66">
        <f t="shared" si="11"/>
        <v>0</v>
      </c>
      <c r="AA14" s="7"/>
      <c r="AB14" s="7"/>
      <c r="AC14" s="7"/>
    </row>
    <row r="15" spans="2:34" ht="15" customHeight="1" x14ac:dyDescent="0.35">
      <c r="B15" s="96" t="s">
        <v>70</v>
      </c>
      <c r="C15" s="100" t="s">
        <v>71</v>
      </c>
      <c r="D15" s="16" t="s">
        <v>355</v>
      </c>
      <c r="E15" s="16" t="s">
        <v>56</v>
      </c>
      <c r="F15" s="16" t="s">
        <v>57</v>
      </c>
      <c r="G15" s="16" t="s">
        <v>58</v>
      </c>
      <c r="H15" s="16" t="s">
        <v>59</v>
      </c>
      <c r="I15" s="16" t="s">
        <v>60</v>
      </c>
      <c r="J15" s="16" t="s">
        <v>61</v>
      </c>
      <c r="K15" s="16" t="s">
        <v>352</v>
      </c>
      <c r="L15" s="16" t="s">
        <v>353</v>
      </c>
      <c r="M15" s="16" t="s">
        <v>62</v>
      </c>
      <c r="N15" s="16" t="s">
        <v>63</v>
      </c>
      <c r="O15" s="16" t="s">
        <v>367</v>
      </c>
      <c r="P15" s="16" t="s">
        <v>117</v>
      </c>
      <c r="Q15" s="16" t="s">
        <v>64</v>
      </c>
      <c r="R15" s="16" t="s">
        <v>65</v>
      </c>
      <c r="S15" s="16" t="s">
        <v>72</v>
      </c>
      <c r="T15" s="16" t="s">
        <v>67</v>
      </c>
      <c r="U15" s="16" t="s">
        <v>68</v>
      </c>
      <c r="V15" s="16" t="s">
        <v>339</v>
      </c>
      <c r="W15" s="21" t="s">
        <v>362</v>
      </c>
      <c r="X15" s="16" t="s">
        <v>69</v>
      </c>
      <c r="AA15" s="7"/>
      <c r="AB15" s="7"/>
      <c r="AC15" s="7"/>
    </row>
    <row r="16" spans="2:34" ht="15" customHeight="1" x14ac:dyDescent="0.35">
      <c r="B16" s="96"/>
      <c r="C16" s="101"/>
      <c r="D16" s="17">
        <v>0.24</v>
      </c>
      <c r="E16" s="19">
        <v>0</v>
      </c>
      <c r="F16" s="19">
        <v>0</v>
      </c>
      <c r="G16" s="19">
        <v>0</v>
      </c>
      <c r="H16" s="19">
        <v>0</v>
      </c>
      <c r="I16" s="17">
        <v>0.04</v>
      </c>
      <c r="J16" s="17">
        <v>0.04</v>
      </c>
      <c r="K16" s="17">
        <v>0.02</v>
      </c>
      <c r="L16" s="17">
        <v>0.02</v>
      </c>
      <c r="M16" s="17">
        <v>0</v>
      </c>
      <c r="N16" s="17">
        <v>0</v>
      </c>
      <c r="O16" s="17">
        <v>0.04</v>
      </c>
      <c r="P16" s="17">
        <v>0</v>
      </c>
      <c r="Q16" s="17">
        <v>0.05</v>
      </c>
      <c r="R16" s="17">
        <v>0.05</v>
      </c>
      <c r="S16" s="17">
        <v>0.05</v>
      </c>
      <c r="T16" s="17">
        <v>0.05</v>
      </c>
      <c r="U16" s="17">
        <v>0</v>
      </c>
      <c r="V16" s="20">
        <v>0.1</v>
      </c>
      <c r="W16" s="20">
        <v>0.1</v>
      </c>
      <c r="X16" s="20">
        <v>0.2</v>
      </c>
      <c r="AA16" s="7"/>
      <c r="AB16" s="7"/>
      <c r="AC16" s="7"/>
    </row>
    <row r="17" spans="2:29" ht="15" customHeight="1" x14ac:dyDescent="0.35">
      <c r="B17" s="36" t="s">
        <v>77</v>
      </c>
      <c r="C17" s="29">
        <f>SUM(Receitas!K8:K11)</f>
        <v>15288.739799999999</v>
      </c>
      <c r="D17" s="41">
        <f>$C$17*D16</f>
        <v>3669.2975519999995</v>
      </c>
      <c r="E17" s="41">
        <v>0</v>
      </c>
      <c r="F17" s="41">
        <f t="shared" ref="F17:W17" si="12">$C$17*F16</f>
        <v>0</v>
      </c>
      <c r="G17" s="41">
        <v>0</v>
      </c>
      <c r="H17" s="41">
        <f t="shared" si="12"/>
        <v>0</v>
      </c>
      <c r="I17" s="41">
        <f t="shared" si="12"/>
        <v>611.54959199999996</v>
      </c>
      <c r="J17" s="41">
        <f t="shared" si="12"/>
        <v>611.54959199999996</v>
      </c>
      <c r="K17" s="41">
        <f t="shared" si="12"/>
        <v>305.77479599999998</v>
      </c>
      <c r="L17" s="41">
        <f t="shared" si="12"/>
        <v>305.77479599999998</v>
      </c>
      <c r="M17" s="41">
        <f t="shared" si="12"/>
        <v>0</v>
      </c>
      <c r="N17" s="41">
        <f t="shared" si="12"/>
        <v>0</v>
      </c>
      <c r="O17" s="41">
        <f>$C$17*O16</f>
        <v>611.54959199999996</v>
      </c>
      <c r="P17" s="41">
        <f t="shared" si="12"/>
        <v>0</v>
      </c>
      <c r="Q17" s="41">
        <f t="shared" si="12"/>
        <v>764.43699000000004</v>
      </c>
      <c r="R17" s="41">
        <f t="shared" si="12"/>
        <v>764.43699000000004</v>
      </c>
      <c r="S17" s="41">
        <f t="shared" si="12"/>
        <v>764.43699000000004</v>
      </c>
      <c r="T17" s="41">
        <f t="shared" si="12"/>
        <v>764.43699000000004</v>
      </c>
      <c r="U17" s="41">
        <v>0</v>
      </c>
      <c r="V17" s="41">
        <f t="shared" si="12"/>
        <v>1528.8739800000001</v>
      </c>
      <c r="W17" s="41">
        <f t="shared" si="12"/>
        <v>1528.8739800000001</v>
      </c>
      <c r="X17" s="41">
        <f>C17*X16</f>
        <v>3057.7479600000001</v>
      </c>
      <c r="AA17" s="7"/>
      <c r="AB17" s="7"/>
      <c r="AC17" s="7"/>
    </row>
    <row r="18" spans="2:29" x14ac:dyDescent="0.35">
      <c r="B18" s="67" t="s">
        <v>76</v>
      </c>
      <c r="C18" s="68">
        <f t="shared" ref="C18:X18" si="13">SUM(C17:C17)</f>
        <v>15288.739799999999</v>
      </c>
      <c r="D18" s="68">
        <f t="shared" si="13"/>
        <v>3669.2975519999995</v>
      </c>
      <c r="E18" s="68">
        <f t="shared" si="13"/>
        <v>0</v>
      </c>
      <c r="F18" s="68">
        <f t="shared" si="13"/>
        <v>0</v>
      </c>
      <c r="G18" s="68">
        <f t="shared" si="13"/>
        <v>0</v>
      </c>
      <c r="H18" s="68">
        <f t="shared" si="13"/>
        <v>0</v>
      </c>
      <c r="I18" s="68">
        <f t="shared" si="13"/>
        <v>611.54959199999996</v>
      </c>
      <c r="J18" s="68">
        <f t="shared" si="13"/>
        <v>611.54959199999996</v>
      </c>
      <c r="K18" s="68">
        <f t="shared" si="13"/>
        <v>305.77479599999998</v>
      </c>
      <c r="L18" s="68">
        <f t="shared" si="13"/>
        <v>305.77479599999998</v>
      </c>
      <c r="M18" s="68">
        <f t="shared" si="13"/>
        <v>0</v>
      </c>
      <c r="N18" s="68">
        <f t="shared" si="13"/>
        <v>0</v>
      </c>
      <c r="O18" s="68">
        <f t="shared" si="13"/>
        <v>611.54959199999996</v>
      </c>
      <c r="P18" s="68">
        <f t="shared" si="13"/>
        <v>0</v>
      </c>
      <c r="Q18" s="68">
        <f t="shared" si="13"/>
        <v>764.43699000000004</v>
      </c>
      <c r="R18" s="68">
        <f t="shared" si="13"/>
        <v>764.43699000000004</v>
      </c>
      <c r="S18" s="68">
        <f t="shared" si="13"/>
        <v>764.43699000000004</v>
      </c>
      <c r="T18" s="68">
        <f t="shared" si="13"/>
        <v>764.43699000000004</v>
      </c>
      <c r="U18" s="68">
        <f t="shared" si="13"/>
        <v>0</v>
      </c>
      <c r="V18" s="68">
        <f t="shared" si="13"/>
        <v>1528.8739800000001</v>
      </c>
      <c r="W18" s="68">
        <f t="shared" si="13"/>
        <v>1528.8739800000001</v>
      </c>
      <c r="X18" s="68">
        <f t="shared" si="13"/>
        <v>3057.7479600000001</v>
      </c>
      <c r="AA18" s="7"/>
      <c r="AB18" s="7"/>
      <c r="AC18" s="7"/>
    </row>
    <row r="19" spans="2:29" ht="15" customHeight="1" x14ac:dyDescent="0.35">
      <c r="B19" s="96" t="s">
        <v>70</v>
      </c>
      <c r="C19" s="102" t="s">
        <v>71</v>
      </c>
      <c r="D19" s="16" t="s">
        <v>355</v>
      </c>
      <c r="E19" s="21" t="s">
        <v>56</v>
      </c>
      <c r="F19" s="21" t="s">
        <v>57</v>
      </c>
      <c r="G19" s="21" t="s">
        <v>58</v>
      </c>
      <c r="H19" s="21" t="s">
        <v>59</v>
      </c>
      <c r="I19" s="21" t="s">
        <v>60</v>
      </c>
      <c r="J19" s="21" t="s">
        <v>61</v>
      </c>
      <c r="K19" s="16" t="s">
        <v>352</v>
      </c>
      <c r="L19" s="16" t="s">
        <v>353</v>
      </c>
      <c r="M19" s="21" t="s">
        <v>62</v>
      </c>
      <c r="N19" s="21" t="s">
        <v>63</v>
      </c>
      <c r="O19" s="16" t="s">
        <v>367</v>
      </c>
      <c r="P19" s="21" t="s">
        <v>117</v>
      </c>
      <c r="Q19" s="21" t="s">
        <v>64</v>
      </c>
      <c r="R19" s="21" t="s">
        <v>65</v>
      </c>
      <c r="S19" s="21" t="s">
        <v>72</v>
      </c>
      <c r="T19" s="21" t="s">
        <v>67</v>
      </c>
      <c r="U19" s="21" t="s">
        <v>68</v>
      </c>
      <c r="V19" s="22" t="s">
        <v>339</v>
      </c>
      <c r="W19" s="44" t="s">
        <v>362</v>
      </c>
      <c r="X19" s="22" t="s">
        <v>69</v>
      </c>
      <c r="AA19" s="7"/>
      <c r="AB19" s="7"/>
      <c r="AC19" s="7"/>
    </row>
    <row r="20" spans="2:29" ht="15" customHeight="1" x14ac:dyDescent="0.35">
      <c r="B20" s="96"/>
      <c r="C20" s="103"/>
      <c r="D20" s="17">
        <v>0.24</v>
      </c>
      <c r="E20" s="23">
        <v>0</v>
      </c>
      <c r="F20" s="23">
        <v>0</v>
      </c>
      <c r="G20" s="23">
        <v>0</v>
      </c>
      <c r="H20" s="23">
        <v>0</v>
      </c>
      <c r="I20" s="23">
        <v>0.04</v>
      </c>
      <c r="J20" s="23">
        <v>0.04</v>
      </c>
      <c r="K20" s="17">
        <v>0.02</v>
      </c>
      <c r="L20" s="17">
        <v>0.02</v>
      </c>
      <c r="M20" s="23">
        <v>0</v>
      </c>
      <c r="N20" s="23">
        <v>0</v>
      </c>
      <c r="O20" s="17">
        <v>0.04</v>
      </c>
      <c r="P20" s="23">
        <v>0</v>
      </c>
      <c r="Q20" s="23">
        <v>0.05</v>
      </c>
      <c r="R20" s="23">
        <v>0.05</v>
      </c>
      <c r="S20" s="23">
        <v>0.05</v>
      </c>
      <c r="T20" s="23">
        <v>0.05</v>
      </c>
      <c r="U20" s="23">
        <v>0</v>
      </c>
      <c r="V20" s="20">
        <v>0.1</v>
      </c>
      <c r="W20" s="20">
        <v>0.1</v>
      </c>
      <c r="X20" s="20">
        <v>0.2</v>
      </c>
      <c r="AA20" s="7"/>
      <c r="AB20" s="7"/>
      <c r="AC20" s="7"/>
    </row>
    <row r="21" spans="2:29" ht="15" customHeight="1" x14ac:dyDescent="0.35">
      <c r="B21" s="35" t="s">
        <v>381</v>
      </c>
      <c r="C21" s="29">
        <v>23604.48</v>
      </c>
      <c r="D21" s="41">
        <f>C21*$D$20</f>
        <v>5665.0751999999993</v>
      </c>
      <c r="E21" s="41">
        <v>0</v>
      </c>
      <c r="F21" s="41">
        <f t="shared" ref="F21:X21" si="14">$C$21*F20</f>
        <v>0</v>
      </c>
      <c r="G21" s="41">
        <f t="shared" si="14"/>
        <v>0</v>
      </c>
      <c r="H21" s="41">
        <f t="shared" si="14"/>
        <v>0</v>
      </c>
      <c r="I21" s="41">
        <f t="shared" si="14"/>
        <v>944.17920000000004</v>
      </c>
      <c r="J21" s="41">
        <f t="shared" si="14"/>
        <v>944.17920000000004</v>
      </c>
      <c r="K21" s="41">
        <f t="shared" si="14"/>
        <v>472.08960000000002</v>
      </c>
      <c r="L21" s="41">
        <f t="shared" si="14"/>
        <v>472.08960000000002</v>
      </c>
      <c r="M21" s="41">
        <f t="shared" si="14"/>
        <v>0</v>
      </c>
      <c r="N21" s="41">
        <f t="shared" si="14"/>
        <v>0</v>
      </c>
      <c r="O21" s="41">
        <f t="shared" si="14"/>
        <v>944.17920000000004</v>
      </c>
      <c r="P21" s="41">
        <f t="shared" si="14"/>
        <v>0</v>
      </c>
      <c r="Q21" s="41">
        <f t="shared" si="14"/>
        <v>1180.2239999999999</v>
      </c>
      <c r="R21" s="41">
        <f t="shared" si="14"/>
        <v>1180.2239999999999</v>
      </c>
      <c r="S21" s="41">
        <f t="shared" si="14"/>
        <v>1180.2239999999999</v>
      </c>
      <c r="T21" s="41">
        <f t="shared" si="14"/>
        <v>1180.2239999999999</v>
      </c>
      <c r="U21" s="41">
        <f t="shared" si="14"/>
        <v>0</v>
      </c>
      <c r="V21" s="41">
        <f t="shared" si="14"/>
        <v>2360.4479999999999</v>
      </c>
      <c r="W21" s="41">
        <f t="shared" si="14"/>
        <v>2360.4479999999999</v>
      </c>
      <c r="X21" s="41">
        <f t="shared" si="14"/>
        <v>4720.8959999999997</v>
      </c>
      <c r="AA21" s="7"/>
      <c r="AB21" s="7"/>
      <c r="AC21" s="7"/>
    </row>
    <row r="22" spans="2:29" ht="15" customHeight="1" x14ac:dyDescent="0.35">
      <c r="B22" s="35" t="s">
        <v>382</v>
      </c>
      <c r="C22" s="29">
        <v>31813.47</v>
      </c>
      <c r="D22" s="41">
        <f>C22*$D$20</f>
        <v>7635.2327999999998</v>
      </c>
      <c r="E22" s="41">
        <f t="shared" ref="E22:X22" si="15">$C$22*E20</f>
        <v>0</v>
      </c>
      <c r="F22" s="41">
        <f t="shared" si="15"/>
        <v>0</v>
      </c>
      <c r="G22" s="41">
        <f t="shared" si="15"/>
        <v>0</v>
      </c>
      <c r="H22" s="41">
        <f t="shared" si="15"/>
        <v>0</v>
      </c>
      <c r="I22" s="41">
        <f t="shared" si="15"/>
        <v>1272.5388</v>
      </c>
      <c r="J22" s="41">
        <f t="shared" si="15"/>
        <v>1272.5388</v>
      </c>
      <c r="K22" s="41">
        <f t="shared" si="15"/>
        <v>636.26940000000002</v>
      </c>
      <c r="L22" s="41">
        <f t="shared" si="15"/>
        <v>636.26940000000002</v>
      </c>
      <c r="M22" s="41">
        <f t="shared" si="15"/>
        <v>0</v>
      </c>
      <c r="N22" s="41">
        <f t="shared" si="15"/>
        <v>0</v>
      </c>
      <c r="O22" s="41">
        <f t="shared" si="15"/>
        <v>1272.5388</v>
      </c>
      <c r="P22" s="41">
        <f t="shared" si="15"/>
        <v>0</v>
      </c>
      <c r="Q22" s="41">
        <f t="shared" si="15"/>
        <v>1590.6735000000001</v>
      </c>
      <c r="R22" s="41">
        <f t="shared" si="15"/>
        <v>1590.6735000000001</v>
      </c>
      <c r="S22" s="41">
        <f t="shared" si="15"/>
        <v>1590.6735000000001</v>
      </c>
      <c r="T22" s="41">
        <f t="shared" si="15"/>
        <v>1590.6735000000001</v>
      </c>
      <c r="U22" s="41">
        <f t="shared" si="15"/>
        <v>0</v>
      </c>
      <c r="V22" s="41">
        <f t="shared" si="15"/>
        <v>3181.3470000000002</v>
      </c>
      <c r="W22" s="41">
        <f t="shared" si="15"/>
        <v>3181.3470000000002</v>
      </c>
      <c r="X22" s="41">
        <f t="shared" si="15"/>
        <v>6362.6940000000004</v>
      </c>
      <c r="AA22" s="7"/>
      <c r="AB22" s="7"/>
      <c r="AC22" s="7"/>
    </row>
    <row r="23" spans="2:29" x14ac:dyDescent="0.35">
      <c r="B23" s="35" t="s">
        <v>364</v>
      </c>
      <c r="C23" s="30">
        <v>0</v>
      </c>
      <c r="D23" s="41">
        <f>C23*$D$20</f>
        <v>0</v>
      </c>
      <c r="E23" s="41">
        <f t="shared" ref="E23:X23" si="16">$C$23*E20</f>
        <v>0</v>
      </c>
      <c r="F23" s="41">
        <f t="shared" si="16"/>
        <v>0</v>
      </c>
      <c r="G23" s="41">
        <f t="shared" si="16"/>
        <v>0</v>
      </c>
      <c r="H23" s="41">
        <f t="shared" si="16"/>
        <v>0</v>
      </c>
      <c r="I23" s="41">
        <f t="shared" si="16"/>
        <v>0</v>
      </c>
      <c r="J23" s="41">
        <f t="shared" si="16"/>
        <v>0</v>
      </c>
      <c r="K23" s="41">
        <f t="shared" si="16"/>
        <v>0</v>
      </c>
      <c r="L23" s="41">
        <f t="shared" si="16"/>
        <v>0</v>
      </c>
      <c r="M23" s="41">
        <f t="shared" si="16"/>
        <v>0</v>
      </c>
      <c r="N23" s="41">
        <f t="shared" si="16"/>
        <v>0</v>
      </c>
      <c r="O23" s="41">
        <f t="shared" si="16"/>
        <v>0</v>
      </c>
      <c r="P23" s="41">
        <f t="shared" si="16"/>
        <v>0</v>
      </c>
      <c r="Q23" s="41">
        <f t="shared" si="16"/>
        <v>0</v>
      </c>
      <c r="R23" s="41">
        <f t="shared" si="16"/>
        <v>0</v>
      </c>
      <c r="S23" s="41">
        <f t="shared" si="16"/>
        <v>0</v>
      </c>
      <c r="T23" s="41">
        <f t="shared" si="16"/>
        <v>0</v>
      </c>
      <c r="U23" s="41">
        <f t="shared" si="16"/>
        <v>0</v>
      </c>
      <c r="V23" s="41">
        <f t="shared" si="16"/>
        <v>0</v>
      </c>
      <c r="W23" s="41">
        <f t="shared" si="16"/>
        <v>0</v>
      </c>
      <c r="X23" s="41">
        <f t="shared" si="16"/>
        <v>0</v>
      </c>
      <c r="AA23" s="7"/>
      <c r="AB23" s="7"/>
      <c r="AC23" s="7"/>
    </row>
    <row r="24" spans="2:29" x14ac:dyDescent="0.35">
      <c r="B24" s="35" t="s">
        <v>321</v>
      </c>
      <c r="C24" s="30">
        <f>1451.81+1051.25+4637.69</f>
        <v>7140.75</v>
      </c>
      <c r="D24" s="41">
        <f>C24*$D$20</f>
        <v>1713.78</v>
      </c>
      <c r="E24" s="41">
        <f t="shared" ref="E24:U24" si="17">$C$24*E20</f>
        <v>0</v>
      </c>
      <c r="F24" s="41">
        <f t="shared" si="17"/>
        <v>0</v>
      </c>
      <c r="G24" s="41">
        <f t="shared" si="17"/>
        <v>0</v>
      </c>
      <c r="H24" s="41">
        <f t="shared" si="17"/>
        <v>0</v>
      </c>
      <c r="I24" s="41">
        <f t="shared" si="17"/>
        <v>285.63</v>
      </c>
      <c r="J24" s="41">
        <f t="shared" si="17"/>
        <v>285.63</v>
      </c>
      <c r="K24" s="41">
        <f t="shared" si="17"/>
        <v>142.815</v>
      </c>
      <c r="L24" s="41">
        <f t="shared" si="17"/>
        <v>142.815</v>
      </c>
      <c r="M24" s="41">
        <f t="shared" si="17"/>
        <v>0</v>
      </c>
      <c r="N24" s="41">
        <f t="shared" si="17"/>
        <v>0</v>
      </c>
      <c r="O24" s="41">
        <f t="shared" si="17"/>
        <v>285.63</v>
      </c>
      <c r="P24" s="41">
        <f t="shared" si="17"/>
        <v>0</v>
      </c>
      <c r="Q24" s="41">
        <f t="shared" si="17"/>
        <v>357.03750000000002</v>
      </c>
      <c r="R24" s="41">
        <f t="shared" si="17"/>
        <v>357.03750000000002</v>
      </c>
      <c r="S24" s="41">
        <f t="shared" si="17"/>
        <v>357.03750000000002</v>
      </c>
      <c r="T24" s="41">
        <f t="shared" si="17"/>
        <v>357.03750000000002</v>
      </c>
      <c r="U24" s="41">
        <f t="shared" si="17"/>
        <v>0</v>
      </c>
      <c r="V24" s="41">
        <f>$C$24*V20</f>
        <v>714.07500000000005</v>
      </c>
      <c r="W24" s="41">
        <f>$C$24*W20</f>
        <v>714.07500000000005</v>
      </c>
      <c r="X24" s="41">
        <f>$C$24*X20</f>
        <v>1428.15</v>
      </c>
      <c r="AA24" s="7"/>
      <c r="AB24" s="7"/>
      <c r="AC24" s="7"/>
    </row>
    <row r="25" spans="2:29" x14ac:dyDescent="0.35">
      <c r="B25" s="67" t="s">
        <v>76</v>
      </c>
      <c r="C25" s="69">
        <f>SUM(C21:C24)</f>
        <v>62558.7</v>
      </c>
      <c r="D25" s="69">
        <f t="shared" ref="D25:X25" si="18">SUM(D21:D24)</f>
        <v>15014.088</v>
      </c>
      <c r="E25" s="69">
        <f t="shared" si="18"/>
        <v>0</v>
      </c>
      <c r="F25" s="69">
        <f t="shared" si="18"/>
        <v>0</v>
      </c>
      <c r="G25" s="69">
        <f t="shared" si="18"/>
        <v>0</v>
      </c>
      <c r="H25" s="69">
        <f t="shared" si="18"/>
        <v>0</v>
      </c>
      <c r="I25" s="69">
        <f t="shared" si="18"/>
        <v>2502.348</v>
      </c>
      <c r="J25" s="69">
        <f t="shared" si="18"/>
        <v>2502.348</v>
      </c>
      <c r="K25" s="69">
        <f t="shared" si="18"/>
        <v>1251.174</v>
      </c>
      <c r="L25" s="69">
        <f t="shared" si="18"/>
        <v>1251.174</v>
      </c>
      <c r="M25" s="69">
        <f t="shared" si="18"/>
        <v>0</v>
      </c>
      <c r="N25" s="69">
        <f t="shared" si="18"/>
        <v>0</v>
      </c>
      <c r="O25" s="69">
        <f t="shared" si="18"/>
        <v>2502.348</v>
      </c>
      <c r="P25" s="69">
        <f t="shared" si="18"/>
        <v>0</v>
      </c>
      <c r="Q25" s="69">
        <f t="shared" si="18"/>
        <v>3127.9349999999999</v>
      </c>
      <c r="R25" s="69">
        <f t="shared" si="18"/>
        <v>3127.9349999999999</v>
      </c>
      <c r="S25" s="69">
        <f t="shared" si="18"/>
        <v>3127.9349999999999</v>
      </c>
      <c r="T25" s="69">
        <f t="shared" si="18"/>
        <v>3127.9349999999999</v>
      </c>
      <c r="U25" s="69">
        <f t="shared" si="18"/>
        <v>0</v>
      </c>
      <c r="V25" s="69">
        <f t="shared" si="18"/>
        <v>6255.87</v>
      </c>
      <c r="W25" s="69">
        <f t="shared" si="18"/>
        <v>6255.87</v>
      </c>
      <c r="X25" s="69">
        <f t="shared" si="18"/>
        <v>12511.74</v>
      </c>
      <c r="AA25" s="7"/>
      <c r="AB25" s="7"/>
      <c r="AC25" s="7"/>
    </row>
    <row r="26" spans="2:29" x14ac:dyDescent="0.35">
      <c r="B26" s="94" t="s">
        <v>70</v>
      </c>
      <c r="C26" s="98" t="s">
        <v>71</v>
      </c>
      <c r="D26" s="16" t="s">
        <v>355</v>
      </c>
      <c r="E26" s="24" t="s">
        <v>56</v>
      </c>
      <c r="F26" s="21" t="s">
        <v>57</v>
      </c>
      <c r="G26" s="24" t="s">
        <v>58</v>
      </c>
      <c r="H26" s="16" t="s">
        <v>59</v>
      </c>
      <c r="I26" s="16" t="s">
        <v>60</v>
      </c>
      <c r="J26" s="16" t="s">
        <v>61</v>
      </c>
      <c r="K26" s="16" t="s">
        <v>352</v>
      </c>
      <c r="L26" s="16" t="s">
        <v>353</v>
      </c>
      <c r="M26" s="16" t="s">
        <v>62</v>
      </c>
      <c r="N26" s="16" t="s">
        <v>63</v>
      </c>
      <c r="O26" s="16" t="s">
        <v>367</v>
      </c>
      <c r="P26" s="16" t="s">
        <v>117</v>
      </c>
      <c r="Q26" s="16" t="s">
        <v>64</v>
      </c>
      <c r="R26" s="16" t="s">
        <v>65</v>
      </c>
      <c r="S26" s="16" t="s">
        <v>72</v>
      </c>
      <c r="T26" s="16" t="s">
        <v>67</v>
      </c>
      <c r="U26" s="16" t="s">
        <v>68</v>
      </c>
      <c r="V26" s="22" t="s">
        <v>339</v>
      </c>
      <c r="W26" s="21" t="s">
        <v>362</v>
      </c>
      <c r="X26" s="22" t="s">
        <v>69</v>
      </c>
      <c r="AA26" s="7"/>
      <c r="AB26" s="7"/>
      <c r="AC26" s="7"/>
    </row>
    <row r="27" spans="2:29" x14ac:dyDescent="0.35">
      <c r="B27" s="95"/>
      <c r="C27" s="99"/>
      <c r="D27" s="26">
        <v>0.3333333</v>
      </c>
      <c r="E27" s="25">
        <v>0.11111111</v>
      </c>
      <c r="F27" s="25">
        <v>0.11111111</v>
      </c>
      <c r="G27" s="25">
        <v>0.11111111</v>
      </c>
      <c r="H27" s="20">
        <v>0.25</v>
      </c>
      <c r="I27" s="25">
        <v>1.6666670000000001E-2</v>
      </c>
      <c r="J27" s="25">
        <v>1.6666670000000001E-2</v>
      </c>
      <c r="K27" s="27">
        <v>8.3333299999999999E-3</v>
      </c>
      <c r="L27" s="27">
        <f>K27</f>
        <v>8.3333299999999999E-3</v>
      </c>
      <c r="M27" s="25">
        <v>1.6666670000000001E-2</v>
      </c>
      <c r="N27" s="25">
        <v>1.6666670000000001E-2</v>
      </c>
      <c r="O27" s="17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AA27" s="7"/>
      <c r="AB27" s="7"/>
      <c r="AC27" s="7"/>
    </row>
    <row r="28" spans="2:29" x14ac:dyDescent="0.35">
      <c r="B28" s="38" t="s">
        <v>383</v>
      </c>
      <c r="C28" s="29">
        <v>2261.9299999999998</v>
      </c>
      <c r="D28" s="41">
        <f>C28*$D$27</f>
        <v>753.97659126899998</v>
      </c>
      <c r="E28" s="41">
        <f t="shared" ref="E28:X28" si="19">$C$28*E27</f>
        <v>251.32555304229999</v>
      </c>
      <c r="F28" s="41">
        <f t="shared" si="19"/>
        <v>251.32555304229999</v>
      </c>
      <c r="G28" s="41">
        <f t="shared" si="19"/>
        <v>251.32555304229999</v>
      </c>
      <c r="H28" s="41">
        <f t="shared" si="19"/>
        <v>565.48249999999996</v>
      </c>
      <c r="I28" s="41">
        <f t="shared" si="19"/>
        <v>37.698840873100004</v>
      </c>
      <c r="J28" s="41">
        <f t="shared" si="19"/>
        <v>37.698840873100004</v>
      </c>
      <c r="K28" s="41">
        <f t="shared" si="19"/>
        <v>18.849409126899999</v>
      </c>
      <c r="L28" s="41">
        <f t="shared" si="19"/>
        <v>18.849409126899999</v>
      </c>
      <c r="M28" s="41">
        <f t="shared" si="19"/>
        <v>37.698840873100004</v>
      </c>
      <c r="N28" s="41">
        <f t="shared" si="19"/>
        <v>37.698840873100004</v>
      </c>
      <c r="O28" s="41">
        <f t="shared" si="19"/>
        <v>0</v>
      </c>
      <c r="P28" s="41">
        <f t="shared" si="19"/>
        <v>0</v>
      </c>
      <c r="Q28" s="41">
        <f t="shared" si="19"/>
        <v>0</v>
      </c>
      <c r="R28" s="41">
        <f t="shared" si="19"/>
        <v>0</v>
      </c>
      <c r="S28" s="41">
        <f t="shared" si="19"/>
        <v>0</v>
      </c>
      <c r="T28" s="41">
        <f t="shared" si="19"/>
        <v>0</v>
      </c>
      <c r="U28" s="41">
        <f t="shared" si="19"/>
        <v>0</v>
      </c>
      <c r="V28" s="41">
        <f t="shared" si="19"/>
        <v>0</v>
      </c>
      <c r="W28" s="41">
        <f t="shared" si="19"/>
        <v>0</v>
      </c>
      <c r="X28" s="41">
        <f t="shared" si="19"/>
        <v>0</v>
      </c>
      <c r="AA28" s="7"/>
      <c r="AB28" s="7"/>
      <c r="AC28" s="7"/>
    </row>
    <row r="29" spans="2:29" x14ac:dyDescent="0.35">
      <c r="B29" s="38" t="s">
        <v>373</v>
      </c>
      <c r="C29" s="29">
        <v>2000</v>
      </c>
      <c r="D29" s="41">
        <f t="shared" ref="D29:X29" si="20">$C$29*D27</f>
        <v>666.66660000000002</v>
      </c>
      <c r="E29" s="41">
        <f t="shared" si="20"/>
        <v>222.22221999999999</v>
      </c>
      <c r="F29" s="41">
        <f t="shared" si="20"/>
        <v>222.22221999999999</v>
      </c>
      <c r="G29" s="41">
        <f t="shared" si="20"/>
        <v>222.22221999999999</v>
      </c>
      <c r="H29" s="41">
        <f t="shared" si="20"/>
        <v>500</v>
      </c>
      <c r="I29" s="41">
        <f t="shared" si="20"/>
        <v>33.33334</v>
      </c>
      <c r="J29" s="41">
        <f t="shared" si="20"/>
        <v>33.33334</v>
      </c>
      <c r="K29" s="41">
        <f t="shared" si="20"/>
        <v>16.66666</v>
      </c>
      <c r="L29" s="41">
        <f t="shared" si="20"/>
        <v>16.66666</v>
      </c>
      <c r="M29" s="41">
        <f t="shared" si="20"/>
        <v>33.33334</v>
      </c>
      <c r="N29" s="41">
        <f t="shared" si="20"/>
        <v>33.33334</v>
      </c>
      <c r="O29" s="41">
        <f t="shared" si="20"/>
        <v>0</v>
      </c>
      <c r="P29" s="41">
        <f t="shared" si="20"/>
        <v>0</v>
      </c>
      <c r="Q29" s="41">
        <f t="shared" si="20"/>
        <v>0</v>
      </c>
      <c r="R29" s="41">
        <f t="shared" si="20"/>
        <v>0</v>
      </c>
      <c r="S29" s="41">
        <f t="shared" si="20"/>
        <v>0</v>
      </c>
      <c r="T29" s="41">
        <f t="shared" si="20"/>
        <v>0</v>
      </c>
      <c r="U29" s="41">
        <f t="shared" si="20"/>
        <v>0</v>
      </c>
      <c r="V29" s="41">
        <f t="shared" si="20"/>
        <v>0</v>
      </c>
      <c r="W29" s="41">
        <f t="shared" si="20"/>
        <v>0</v>
      </c>
      <c r="X29" s="41">
        <f t="shared" si="20"/>
        <v>0</v>
      </c>
      <c r="AA29" s="7"/>
      <c r="AB29" s="7"/>
      <c r="AC29" s="7"/>
    </row>
    <row r="30" spans="2:29" x14ac:dyDescent="0.35">
      <c r="B30" s="67" t="s">
        <v>76</v>
      </c>
      <c r="C30" s="68">
        <f>SUM(C28:C29)</f>
        <v>4261.93</v>
      </c>
      <c r="D30" s="68">
        <f t="shared" ref="D30:X30" si="21">SUM(D28:D29)</f>
        <v>1420.643191269</v>
      </c>
      <c r="E30" s="68">
        <f t="shared" si="21"/>
        <v>473.54777304229998</v>
      </c>
      <c r="F30" s="68">
        <f t="shared" si="21"/>
        <v>473.54777304229998</v>
      </c>
      <c r="G30" s="68">
        <f t="shared" si="21"/>
        <v>473.54777304229998</v>
      </c>
      <c r="H30" s="68">
        <f t="shared" si="21"/>
        <v>1065.4825000000001</v>
      </c>
      <c r="I30" s="68">
        <f t="shared" si="21"/>
        <v>71.032180873100003</v>
      </c>
      <c r="J30" s="68">
        <f t="shared" si="21"/>
        <v>71.032180873100003</v>
      </c>
      <c r="K30" s="68">
        <f t="shared" si="21"/>
        <v>35.5160691269</v>
      </c>
      <c r="L30" s="68">
        <f t="shared" si="21"/>
        <v>35.5160691269</v>
      </c>
      <c r="M30" s="68">
        <f t="shared" si="21"/>
        <v>71.032180873100003</v>
      </c>
      <c r="N30" s="68">
        <f t="shared" si="21"/>
        <v>71.032180873100003</v>
      </c>
      <c r="O30" s="68">
        <f t="shared" si="21"/>
        <v>0</v>
      </c>
      <c r="P30" s="68">
        <f t="shared" si="21"/>
        <v>0</v>
      </c>
      <c r="Q30" s="68">
        <f t="shared" si="21"/>
        <v>0</v>
      </c>
      <c r="R30" s="68">
        <f t="shared" si="21"/>
        <v>0</v>
      </c>
      <c r="S30" s="68">
        <f t="shared" si="21"/>
        <v>0</v>
      </c>
      <c r="T30" s="68">
        <f t="shared" si="21"/>
        <v>0</v>
      </c>
      <c r="U30" s="68">
        <f t="shared" si="21"/>
        <v>0</v>
      </c>
      <c r="V30" s="68">
        <f t="shared" si="21"/>
        <v>0</v>
      </c>
      <c r="W30" s="68">
        <f t="shared" si="21"/>
        <v>0</v>
      </c>
      <c r="X30" s="68">
        <f t="shared" si="21"/>
        <v>0</v>
      </c>
      <c r="AA30" s="7"/>
      <c r="AB30" s="7"/>
      <c r="AC30" s="7"/>
    </row>
    <row r="31" spans="2:29" x14ac:dyDescent="0.35">
      <c r="B31" s="94" t="s">
        <v>78</v>
      </c>
      <c r="C31" s="105" t="s">
        <v>71</v>
      </c>
      <c r="D31" s="94" t="s">
        <v>355</v>
      </c>
      <c r="E31" s="94" t="s">
        <v>56</v>
      </c>
      <c r="F31" s="94" t="s">
        <v>57</v>
      </c>
      <c r="G31" s="94" t="s">
        <v>58</v>
      </c>
      <c r="H31" s="94" t="s">
        <v>59</v>
      </c>
      <c r="I31" s="94" t="s">
        <v>60</v>
      </c>
      <c r="J31" s="94" t="s">
        <v>61</v>
      </c>
      <c r="K31" s="94" t="s">
        <v>352</v>
      </c>
      <c r="L31" s="94" t="s">
        <v>353</v>
      </c>
      <c r="M31" s="94" t="s">
        <v>62</v>
      </c>
      <c r="N31" s="94" t="s">
        <v>63</v>
      </c>
      <c r="O31" s="94" t="s">
        <v>367</v>
      </c>
      <c r="P31" s="94" t="s">
        <v>117</v>
      </c>
      <c r="Q31" s="94" t="s">
        <v>64</v>
      </c>
      <c r="R31" s="107" t="s">
        <v>65</v>
      </c>
      <c r="S31" s="94" t="s">
        <v>72</v>
      </c>
      <c r="T31" s="94" t="s">
        <v>67</v>
      </c>
      <c r="U31" s="94" t="s">
        <v>68</v>
      </c>
      <c r="V31" s="104" t="s">
        <v>339</v>
      </c>
      <c r="W31" s="104" t="s">
        <v>362</v>
      </c>
      <c r="X31" s="104" t="s">
        <v>69</v>
      </c>
      <c r="AA31" s="7"/>
      <c r="AB31" s="7"/>
      <c r="AC31" s="7"/>
    </row>
    <row r="32" spans="2:29" x14ac:dyDescent="0.35">
      <c r="B32" s="95"/>
      <c r="C32" s="106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108"/>
      <c r="S32" s="95"/>
      <c r="T32" s="95"/>
      <c r="U32" s="95"/>
      <c r="V32" s="104"/>
      <c r="W32" s="104"/>
      <c r="X32" s="104"/>
      <c r="AA32" s="7"/>
      <c r="AB32" s="7"/>
      <c r="AC32" s="7"/>
    </row>
    <row r="33" spans="2:29" x14ac:dyDescent="0.35">
      <c r="B33" s="37" t="s">
        <v>336</v>
      </c>
      <c r="C33" s="29">
        <f>1059.56</f>
        <v>1059.56</v>
      </c>
      <c r="D33" s="41">
        <f>C33*24%</f>
        <v>254.29439999999997</v>
      </c>
      <c r="E33" s="41">
        <f>$C$33*6.66667%</f>
        <v>70.637368651999992</v>
      </c>
      <c r="F33" s="41">
        <f>$C$33*6.66667%</f>
        <v>70.637368651999992</v>
      </c>
      <c r="G33" s="41">
        <f>$C$33*6.66667%</f>
        <v>70.637368651999992</v>
      </c>
      <c r="H33" s="41">
        <v>0</v>
      </c>
      <c r="I33" s="41">
        <f>$C$33*4%</f>
        <v>42.382399999999997</v>
      </c>
      <c r="J33" s="41">
        <f>$C$33*4%</f>
        <v>42.382399999999997</v>
      </c>
      <c r="K33" s="41">
        <f>$C$33*2%</f>
        <v>21.191199999999998</v>
      </c>
      <c r="L33" s="41">
        <f>$C$33*2%</f>
        <v>21.191199999999998</v>
      </c>
      <c r="M33" s="41">
        <f>$C$33*4%</f>
        <v>42.382399999999997</v>
      </c>
      <c r="N33" s="41">
        <v>0</v>
      </c>
      <c r="O33" s="41">
        <v>0</v>
      </c>
      <c r="P33" s="41">
        <v>0</v>
      </c>
      <c r="Q33" s="41">
        <f>$C$33*5%</f>
        <v>52.978000000000002</v>
      </c>
      <c r="R33" s="41">
        <f>$C$33*5%</f>
        <v>52.978000000000002</v>
      </c>
      <c r="S33" s="41">
        <f>$C$33*5%</f>
        <v>52.978000000000002</v>
      </c>
      <c r="T33" s="41">
        <f>$C$33*5%</f>
        <v>52.978000000000002</v>
      </c>
      <c r="U33" s="41">
        <f>C33*20%</f>
        <v>211.91200000000001</v>
      </c>
      <c r="V33" s="41">
        <v>0</v>
      </c>
      <c r="W33" s="41">
        <v>0</v>
      </c>
      <c r="X33" s="41">
        <v>0</v>
      </c>
      <c r="AA33" s="7"/>
      <c r="AB33" s="7"/>
      <c r="AC33" s="7"/>
    </row>
    <row r="34" spans="2:29" x14ac:dyDescent="0.35">
      <c r="B34" s="37" t="s">
        <v>370</v>
      </c>
      <c r="C34" s="29">
        <f>10000+1612.68+(46.57*11)</f>
        <v>12124.95</v>
      </c>
      <c r="D34" s="41">
        <v>0</v>
      </c>
      <c r="E34" s="41">
        <f>$C$34/4/3</f>
        <v>1010.4125</v>
      </c>
      <c r="F34" s="41">
        <f>$C$34/4/3</f>
        <v>1010.4125</v>
      </c>
      <c r="G34" s="41">
        <f>$C$34/4/3</f>
        <v>1010.4125</v>
      </c>
      <c r="H34" s="41">
        <f>(C34/4)*0.75</f>
        <v>2273.4281250000004</v>
      </c>
      <c r="I34" s="41">
        <f>$C$34/4*0.05</f>
        <v>151.56187500000001</v>
      </c>
      <c r="J34" s="41">
        <f>$C$34/4*0.05</f>
        <v>151.56187500000001</v>
      </c>
      <c r="K34" s="41">
        <f>$C$34/4*0.05/2</f>
        <v>75.780937500000007</v>
      </c>
      <c r="L34" s="41">
        <f>$C$34/4*0.05/2</f>
        <v>75.780937500000007</v>
      </c>
      <c r="M34" s="41">
        <f>$C$34/4*0.05</f>
        <v>151.56187500000001</v>
      </c>
      <c r="N34" s="41">
        <f>$C$34/4*0.05</f>
        <v>151.56187500000001</v>
      </c>
      <c r="O34" s="41">
        <v>0</v>
      </c>
      <c r="P34" s="41">
        <v>0</v>
      </c>
      <c r="Q34" s="41">
        <f>$C$34/4/4</f>
        <v>757.80937500000005</v>
      </c>
      <c r="R34" s="41">
        <f>$C$34/4/4</f>
        <v>757.80937500000005</v>
      </c>
      <c r="S34" s="41">
        <f>$C$34/4/4</f>
        <v>757.80937500000005</v>
      </c>
      <c r="T34" s="41">
        <f>$C$34/4/4</f>
        <v>757.80937500000005</v>
      </c>
      <c r="U34" s="41">
        <f>C34/4</f>
        <v>3031.2375000000002</v>
      </c>
      <c r="V34" s="41">
        <v>0</v>
      </c>
      <c r="W34" s="41">
        <v>0</v>
      </c>
      <c r="X34" s="41">
        <v>0</v>
      </c>
      <c r="AA34" s="7"/>
      <c r="AB34" s="7"/>
      <c r="AC34" s="7"/>
    </row>
    <row r="35" spans="2:29" x14ac:dyDescent="0.35">
      <c r="B35" s="37" t="s">
        <v>374</v>
      </c>
      <c r="C35" s="29">
        <v>50000</v>
      </c>
      <c r="D35" s="41">
        <v>0</v>
      </c>
      <c r="E35" s="41">
        <f>C35/4/3</f>
        <v>4166.666666666667</v>
      </c>
      <c r="F35" s="41">
        <f>E35</f>
        <v>4166.666666666667</v>
      </c>
      <c r="G35" s="41">
        <f>F35</f>
        <v>4166.666666666667</v>
      </c>
      <c r="H35" s="41">
        <f>C35/4/2</f>
        <v>6250</v>
      </c>
      <c r="I35" s="41">
        <f>(C35/4/2)/5</f>
        <v>1250</v>
      </c>
      <c r="J35" s="41">
        <f>I35</f>
        <v>1250</v>
      </c>
      <c r="K35" s="41">
        <f>J35/2</f>
        <v>625</v>
      </c>
      <c r="L35" s="41">
        <f>K35</f>
        <v>625</v>
      </c>
      <c r="M35" s="41">
        <f>J35</f>
        <v>1250</v>
      </c>
      <c r="N35" s="41">
        <f>M35</f>
        <v>1250</v>
      </c>
      <c r="O35" s="41">
        <v>0</v>
      </c>
      <c r="P35" s="41">
        <v>0</v>
      </c>
      <c r="Q35" s="41">
        <f>C35/4/4</f>
        <v>3125</v>
      </c>
      <c r="R35" s="41">
        <f>Q35</f>
        <v>3125</v>
      </c>
      <c r="S35" s="41">
        <f>R35</f>
        <v>3125</v>
      </c>
      <c r="T35" s="41">
        <f>S35</f>
        <v>3125</v>
      </c>
      <c r="U35" s="41">
        <f>C35/4</f>
        <v>12500</v>
      </c>
      <c r="V35" s="41">
        <v>0</v>
      </c>
      <c r="W35" s="41">
        <v>0</v>
      </c>
      <c r="X35" s="41">
        <v>0</v>
      </c>
      <c r="AA35" s="7"/>
      <c r="AB35" s="7"/>
      <c r="AC35" s="7"/>
    </row>
    <row r="36" spans="2:29" x14ac:dyDescent="0.35">
      <c r="B36" s="37" t="s">
        <v>337</v>
      </c>
      <c r="C36" s="29">
        <v>0</v>
      </c>
      <c r="D36" s="41">
        <v>0</v>
      </c>
      <c r="E36" s="41">
        <v>0</v>
      </c>
      <c r="F36" s="41">
        <v>0</v>
      </c>
      <c r="G36" s="41">
        <v>0</v>
      </c>
      <c r="H36" s="41">
        <v>0</v>
      </c>
      <c r="I36" s="41">
        <v>0</v>
      </c>
      <c r="J36" s="41">
        <v>0</v>
      </c>
      <c r="K36" s="41">
        <f>C36/2</f>
        <v>0</v>
      </c>
      <c r="L36" s="41">
        <f>K36</f>
        <v>0</v>
      </c>
      <c r="M36" s="41">
        <v>0</v>
      </c>
      <c r="N36" s="41">
        <v>0</v>
      </c>
      <c r="O36" s="41">
        <v>0</v>
      </c>
      <c r="P36" s="41">
        <v>0</v>
      </c>
      <c r="Q36" s="41">
        <v>0</v>
      </c>
      <c r="R36" s="41">
        <v>0</v>
      </c>
      <c r="S36" s="41">
        <v>0</v>
      </c>
      <c r="T36" s="41">
        <v>0</v>
      </c>
      <c r="U36" s="41">
        <v>0</v>
      </c>
      <c r="V36" s="41">
        <v>0</v>
      </c>
      <c r="W36" s="41">
        <v>0</v>
      </c>
      <c r="X36" s="41">
        <v>0</v>
      </c>
      <c r="AA36" s="7"/>
      <c r="AB36" s="7"/>
      <c r="AC36" s="7"/>
    </row>
    <row r="37" spans="2:29" x14ac:dyDescent="0.35">
      <c r="B37" s="37" t="s">
        <v>375</v>
      </c>
      <c r="C37" s="29">
        <v>0</v>
      </c>
      <c r="D37" s="41">
        <v>0</v>
      </c>
      <c r="E37" s="41">
        <v>0</v>
      </c>
      <c r="F37" s="41">
        <v>0</v>
      </c>
      <c r="G37" s="41">
        <v>0</v>
      </c>
      <c r="H37" s="41">
        <v>0</v>
      </c>
      <c r="I37" s="41">
        <v>0</v>
      </c>
      <c r="J37" s="41">
        <v>0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1">
        <v>0</v>
      </c>
      <c r="Q37" s="41">
        <v>0</v>
      </c>
      <c r="R37" s="41">
        <v>0</v>
      </c>
      <c r="S37" s="41">
        <f>C37</f>
        <v>0</v>
      </c>
      <c r="T37" s="41">
        <v>0</v>
      </c>
      <c r="U37" s="41">
        <v>0</v>
      </c>
      <c r="V37" s="41">
        <v>0</v>
      </c>
      <c r="W37" s="41">
        <v>0</v>
      </c>
      <c r="X37" s="41">
        <v>0</v>
      </c>
      <c r="AA37" s="7"/>
      <c r="AB37" s="7"/>
      <c r="AC37" s="7"/>
    </row>
    <row r="38" spans="2:29" x14ac:dyDescent="0.35">
      <c r="B38" s="37" t="s">
        <v>384</v>
      </c>
      <c r="C38" s="29">
        <v>10092.299999999999</v>
      </c>
      <c r="D38" s="41">
        <f>C38</f>
        <v>10092.299999999999</v>
      </c>
      <c r="E38" s="41">
        <v>0</v>
      </c>
      <c r="F38" s="41">
        <v>0</v>
      </c>
      <c r="G38" s="41">
        <v>0</v>
      </c>
      <c r="H38" s="41">
        <v>0</v>
      </c>
      <c r="I38" s="41">
        <v>0</v>
      </c>
      <c r="J38" s="41">
        <v>0</v>
      </c>
      <c r="K38" s="41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41">
        <v>0</v>
      </c>
      <c r="R38" s="41">
        <v>0</v>
      </c>
      <c r="S38" s="41">
        <v>0</v>
      </c>
      <c r="T38" s="41">
        <v>0</v>
      </c>
      <c r="U38" s="41">
        <v>0</v>
      </c>
      <c r="V38" s="41">
        <v>0</v>
      </c>
      <c r="W38" s="41">
        <v>0</v>
      </c>
      <c r="X38" s="41">
        <v>0</v>
      </c>
      <c r="AA38" s="7"/>
      <c r="AB38" s="7"/>
      <c r="AC38" s="7"/>
    </row>
    <row r="39" spans="2:29" x14ac:dyDescent="0.35">
      <c r="B39" s="37" t="s">
        <v>79</v>
      </c>
      <c r="C39" s="29">
        <f>1161.3+8320.82</f>
        <v>9482.119999999999</v>
      </c>
      <c r="D39" s="41">
        <v>0</v>
      </c>
      <c r="E39" s="41">
        <v>0</v>
      </c>
      <c r="F39" s="41">
        <v>0</v>
      </c>
      <c r="G39" s="41">
        <v>0</v>
      </c>
      <c r="H39" s="41">
        <v>0</v>
      </c>
      <c r="I39" s="41">
        <v>0</v>
      </c>
      <c r="J39" s="41">
        <v>0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f>C39</f>
        <v>9482.119999999999</v>
      </c>
      <c r="S39" s="41">
        <v>0</v>
      </c>
      <c r="T39" s="41">
        <v>0</v>
      </c>
      <c r="U39" s="41">
        <v>0</v>
      </c>
      <c r="V39" s="41">
        <v>0</v>
      </c>
      <c r="W39" s="41">
        <v>0</v>
      </c>
      <c r="X39" s="41">
        <v>0</v>
      </c>
      <c r="AA39" s="7"/>
      <c r="AB39" s="7"/>
      <c r="AC39" s="7"/>
    </row>
    <row r="40" spans="2:29" x14ac:dyDescent="0.35">
      <c r="B40" s="37" t="s">
        <v>80</v>
      </c>
      <c r="C40" s="29">
        <f>1161.3+8322.39</f>
        <v>9483.6899999999987</v>
      </c>
      <c r="D40" s="41">
        <v>0</v>
      </c>
      <c r="E40" s="41">
        <v>0</v>
      </c>
      <c r="F40" s="41">
        <v>0</v>
      </c>
      <c r="G40" s="41">
        <v>0</v>
      </c>
      <c r="H40" s="41">
        <v>0</v>
      </c>
      <c r="I40" s="41">
        <v>0</v>
      </c>
      <c r="J40" s="41">
        <v>0</v>
      </c>
      <c r="K40" s="41">
        <v>0</v>
      </c>
      <c r="L40" s="41">
        <v>0</v>
      </c>
      <c r="M40" s="41">
        <v>0</v>
      </c>
      <c r="N40" s="41">
        <v>0</v>
      </c>
      <c r="O40" s="41">
        <v>0</v>
      </c>
      <c r="P40" s="41">
        <v>0</v>
      </c>
      <c r="Q40" s="41">
        <v>0</v>
      </c>
      <c r="R40" s="41">
        <v>0</v>
      </c>
      <c r="S40" s="41">
        <v>0</v>
      </c>
      <c r="T40" s="41">
        <f>C40</f>
        <v>9483.6899999999987</v>
      </c>
      <c r="U40" s="41">
        <v>0</v>
      </c>
      <c r="V40" s="41">
        <v>0</v>
      </c>
      <c r="W40" s="41">
        <v>0</v>
      </c>
      <c r="X40" s="41">
        <v>0</v>
      </c>
      <c r="AA40" s="7"/>
      <c r="AB40" s="7"/>
      <c r="AC40" s="7"/>
    </row>
    <row r="41" spans="2:29" x14ac:dyDescent="0.35">
      <c r="B41" s="37" t="s">
        <v>81</v>
      </c>
      <c r="C41" s="29">
        <f>8320.82+1161.3</f>
        <v>9482.119999999999</v>
      </c>
      <c r="D41" s="41">
        <v>0</v>
      </c>
      <c r="E41" s="41">
        <v>0</v>
      </c>
      <c r="F41" s="41">
        <v>0</v>
      </c>
      <c r="G41" s="41">
        <v>0</v>
      </c>
      <c r="H41" s="41">
        <v>0</v>
      </c>
      <c r="I41" s="41">
        <v>0</v>
      </c>
      <c r="J41" s="41">
        <v>0</v>
      </c>
      <c r="K41" s="41">
        <v>0</v>
      </c>
      <c r="L41" s="41">
        <v>0</v>
      </c>
      <c r="M41" s="41">
        <v>0</v>
      </c>
      <c r="N41" s="41">
        <v>0</v>
      </c>
      <c r="O41" s="41">
        <v>0</v>
      </c>
      <c r="P41" s="41">
        <v>0</v>
      </c>
      <c r="Q41" s="41">
        <v>0</v>
      </c>
      <c r="R41" s="41">
        <v>0</v>
      </c>
      <c r="S41" s="41">
        <f>C41</f>
        <v>9482.119999999999</v>
      </c>
      <c r="T41" s="41">
        <v>0</v>
      </c>
      <c r="U41" s="41">
        <v>0</v>
      </c>
      <c r="V41" s="41">
        <v>0</v>
      </c>
      <c r="W41" s="41">
        <v>0</v>
      </c>
      <c r="X41" s="41">
        <v>0</v>
      </c>
      <c r="AA41" s="7"/>
      <c r="AB41" s="7"/>
      <c r="AC41" s="7"/>
    </row>
    <row r="42" spans="2:29" x14ac:dyDescent="0.35">
      <c r="B42" s="37" t="s">
        <v>82</v>
      </c>
      <c r="C42" s="29">
        <v>11096.52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41">
        <v>0</v>
      </c>
      <c r="K42" s="41">
        <v>0</v>
      </c>
      <c r="L42" s="41">
        <v>0</v>
      </c>
      <c r="M42" s="41">
        <v>0</v>
      </c>
      <c r="N42" s="41">
        <v>0</v>
      </c>
      <c r="O42" s="41">
        <v>0</v>
      </c>
      <c r="P42" s="41">
        <v>0</v>
      </c>
      <c r="Q42" s="41">
        <f>C42</f>
        <v>11096.52</v>
      </c>
      <c r="R42" s="41">
        <v>0</v>
      </c>
      <c r="S42" s="41">
        <v>0</v>
      </c>
      <c r="T42" s="41">
        <v>0</v>
      </c>
      <c r="U42" s="41">
        <v>0</v>
      </c>
      <c r="V42" s="41">
        <v>0</v>
      </c>
      <c r="W42" s="41">
        <v>0</v>
      </c>
      <c r="X42" s="41">
        <v>0</v>
      </c>
      <c r="AA42" s="7"/>
      <c r="AB42" s="7"/>
      <c r="AC42" s="7"/>
    </row>
    <row r="43" spans="2:29" x14ac:dyDescent="0.35">
      <c r="B43" s="37" t="s">
        <v>119</v>
      </c>
      <c r="C43" s="29">
        <f>290.33</f>
        <v>290.33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41">
        <v>0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f>C43</f>
        <v>290.33</v>
      </c>
      <c r="Q43" s="41">
        <v>0</v>
      </c>
      <c r="R43" s="41">
        <v>0</v>
      </c>
      <c r="S43" s="41">
        <v>0</v>
      </c>
      <c r="T43" s="41">
        <v>0</v>
      </c>
      <c r="U43" s="41">
        <v>0</v>
      </c>
      <c r="V43" s="41">
        <v>0</v>
      </c>
      <c r="W43" s="41">
        <v>0</v>
      </c>
      <c r="X43" s="41">
        <v>0</v>
      </c>
      <c r="AA43" s="7"/>
      <c r="AB43" s="7"/>
      <c r="AC43" s="7"/>
    </row>
    <row r="44" spans="2:29" x14ac:dyDescent="0.35">
      <c r="B44" s="37" t="s">
        <v>83</v>
      </c>
      <c r="C44" s="29">
        <f>1219.37+8758.75</f>
        <v>9978.119999999999</v>
      </c>
      <c r="D44" s="41">
        <v>0</v>
      </c>
      <c r="E44" s="41">
        <v>0</v>
      </c>
      <c r="F44" s="41">
        <v>0</v>
      </c>
      <c r="G44" s="41">
        <v>0</v>
      </c>
      <c r="H44" s="41">
        <v>0</v>
      </c>
      <c r="I44" s="41">
        <f>C44</f>
        <v>9978.119999999999</v>
      </c>
      <c r="J44" s="41">
        <v>0</v>
      </c>
      <c r="K44" s="41">
        <v>0</v>
      </c>
      <c r="L44" s="41">
        <v>0</v>
      </c>
      <c r="M44" s="41">
        <v>0</v>
      </c>
      <c r="N44" s="41">
        <v>0</v>
      </c>
      <c r="O44" s="41">
        <v>0</v>
      </c>
      <c r="P44" s="41">
        <v>0</v>
      </c>
      <c r="Q44" s="41">
        <v>0</v>
      </c>
      <c r="R44" s="41">
        <v>0</v>
      </c>
      <c r="S44" s="41">
        <v>0</v>
      </c>
      <c r="T44" s="41">
        <v>0</v>
      </c>
      <c r="U44" s="41">
        <v>0</v>
      </c>
      <c r="V44" s="41">
        <v>0</v>
      </c>
      <c r="W44" s="41">
        <v>0</v>
      </c>
      <c r="X44" s="41">
        <v>0</v>
      </c>
      <c r="AA44" s="7"/>
      <c r="AB44" s="7"/>
      <c r="AC44" s="7"/>
    </row>
    <row r="45" spans="2:29" x14ac:dyDescent="0.35">
      <c r="B45" s="37" t="s">
        <v>84</v>
      </c>
      <c r="C45" s="29">
        <f>929.04</f>
        <v>929.04</v>
      </c>
      <c r="D45" s="41">
        <v>0</v>
      </c>
      <c r="E45" s="41">
        <v>0</v>
      </c>
      <c r="F45" s="41">
        <v>0</v>
      </c>
      <c r="G45" s="41">
        <v>0</v>
      </c>
      <c r="H45" s="41">
        <v>0</v>
      </c>
      <c r="I45" s="41">
        <v>0</v>
      </c>
      <c r="J45" s="41">
        <v>0</v>
      </c>
      <c r="K45" s="41">
        <v>0</v>
      </c>
      <c r="L45" s="41">
        <v>0</v>
      </c>
      <c r="M45" s="41">
        <f>C45</f>
        <v>929.04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41">
        <v>0</v>
      </c>
      <c r="T45" s="41">
        <v>0</v>
      </c>
      <c r="U45" s="41">
        <v>0</v>
      </c>
      <c r="V45" s="41">
        <v>0</v>
      </c>
      <c r="W45" s="41">
        <v>0</v>
      </c>
      <c r="X45" s="41">
        <v>0</v>
      </c>
      <c r="AA45" s="7"/>
      <c r="AB45" s="7"/>
      <c r="AC45" s="7"/>
    </row>
    <row r="46" spans="2:29" x14ac:dyDescent="0.35">
      <c r="B46" s="37" t="s">
        <v>85</v>
      </c>
      <c r="C46" s="29">
        <f>929.04+8758.75</f>
        <v>9687.7900000000009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41">
        <f>C46</f>
        <v>9687.7900000000009</v>
      </c>
      <c r="K46" s="41">
        <v>0</v>
      </c>
      <c r="L46" s="41">
        <v>0</v>
      </c>
      <c r="M46" s="41">
        <v>0</v>
      </c>
      <c r="N46" s="41">
        <v>0</v>
      </c>
      <c r="O46" s="41">
        <v>0</v>
      </c>
      <c r="P46" s="41">
        <v>0</v>
      </c>
      <c r="Q46" s="41">
        <v>0</v>
      </c>
      <c r="R46" s="41">
        <v>0</v>
      </c>
      <c r="S46" s="41">
        <v>0</v>
      </c>
      <c r="T46" s="41">
        <v>0</v>
      </c>
      <c r="U46" s="41">
        <v>0</v>
      </c>
      <c r="V46" s="41">
        <v>0</v>
      </c>
      <c r="W46" s="41">
        <v>0</v>
      </c>
      <c r="X46" s="41">
        <v>0</v>
      </c>
      <c r="AA46" s="7"/>
      <c r="AB46" s="7"/>
      <c r="AC46" s="7"/>
    </row>
    <row r="47" spans="2:29" x14ac:dyDescent="0.35">
      <c r="B47" s="37" t="s">
        <v>357</v>
      </c>
      <c r="C47" s="29">
        <f>464.52+4590.59</f>
        <v>5055.1100000000006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41">
        <v>0</v>
      </c>
      <c r="K47" s="41">
        <v>0</v>
      </c>
      <c r="L47" s="41">
        <f>C47</f>
        <v>5055.1100000000006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41">
        <v>0</v>
      </c>
      <c r="T47" s="41">
        <v>0</v>
      </c>
      <c r="U47" s="41">
        <v>0</v>
      </c>
      <c r="V47" s="41">
        <v>0</v>
      </c>
      <c r="W47" s="41">
        <v>0</v>
      </c>
      <c r="X47" s="41">
        <v>0</v>
      </c>
      <c r="AA47" s="7"/>
      <c r="AB47" s="7"/>
      <c r="AC47" s="7"/>
    </row>
    <row r="48" spans="2:29" x14ac:dyDescent="0.35">
      <c r="B48" s="37" t="s">
        <v>356</v>
      </c>
      <c r="C48" s="29">
        <f>464.52+4590.59</f>
        <v>5055.1100000000006</v>
      </c>
      <c r="D48" s="41">
        <v>0</v>
      </c>
      <c r="E48" s="41">
        <v>0</v>
      </c>
      <c r="F48" s="41">
        <v>0</v>
      </c>
      <c r="G48" s="41">
        <v>0</v>
      </c>
      <c r="H48" s="41">
        <v>0</v>
      </c>
      <c r="I48" s="41">
        <v>0</v>
      </c>
      <c r="J48" s="41">
        <v>0</v>
      </c>
      <c r="K48" s="41">
        <f>C48</f>
        <v>5055.1100000000006</v>
      </c>
      <c r="L48" s="41">
        <f>D48</f>
        <v>0</v>
      </c>
      <c r="M48" s="41">
        <v>0</v>
      </c>
      <c r="N48" s="41">
        <v>0</v>
      </c>
      <c r="O48" s="41">
        <v>0</v>
      </c>
      <c r="P48" s="41">
        <v>0</v>
      </c>
      <c r="Q48" s="41">
        <v>0</v>
      </c>
      <c r="R48" s="41">
        <v>0</v>
      </c>
      <c r="S48" s="41">
        <v>0</v>
      </c>
      <c r="T48" s="41">
        <v>0</v>
      </c>
      <c r="U48" s="41">
        <v>0</v>
      </c>
      <c r="V48" s="41">
        <v>0</v>
      </c>
      <c r="W48" s="41">
        <v>0</v>
      </c>
      <c r="X48" s="41">
        <v>0</v>
      </c>
      <c r="AA48" s="7"/>
      <c r="AB48" s="7"/>
      <c r="AC48" s="7"/>
    </row>
    <row r="49" spans="2:29" x14ac:dyDescent="0.35">
      <c r="B49" s="37" t="s">
        <v>86</v>
      </c>
      <c r="C49" s="29">
        <v>0</v>
      </c>
      <c r="D49" s="41">
        <v>0</v>
      </c>
      <c r="E49" s="41">
        <v>0</v>
      </c>
      <c r="F49" s="41">
        <v>0</v>
      </c>
      <c r="G49" s="41">
        <v>0</v>
      </c>
      <c r="H49" s="41">
        <v>0</v>
      </c>
      <c r="I49" s="41">
        <v>0</v>
      </c>
      <c r="J49" s="41">
        <v>0</v>
      </c>
      <c r="K49" s="41">
        <v>0</v>
      </c>
      <c r="L49" s="41">
        <v>0</v>
      </c>
      <c r="M49" s="41">
        <v>0</v>
      </c>
      <c r="N49" s="41">
        <f>C49</f>
        <v>0</v>
      </c>
      <c r="O49" s="41">
        <v>0</v>
      </c>
      <c r="P49" s="41">
        <v>0</v>
      </c>
      <c r="Q49" s="41">
        <v>0</v>
      </c>
      <c r="R49" s="41">
        <v>0</v>
      </c>
      <c r="S49" s="41">
        <v>0</v>
      </c>
      <c r="T49" s="41">
        <v>0</v>
      </c>
      <c r="U49" s="41">
        <v>0</v>
      </c>
      <c r="V49" s="41">
        <v>0</v>
      </c>
      <c r="W49" s="41">
        <v>0</v>
      </c>
      <c r="X49" s="41">
        <v>0</v>
      </c>
      <c r="AA49" s="7"/>
      <c r="AB49" s="7"/>
      <c r="AC49" s="7"/>
    </row>
    <row r="50" spans="2:29" x14ac:dyDescent="0.35">
      <c r="B50" s="37" t="s">
        <v>369</v>
      </c>
      <c r="C50" s="29">
        <v>9181.19</v>
      </c>
      <c r="D50" s="41">
        <v>0</v>
      </c>
      <c r="E50" s="41">
        <v>0</v>
      </c>
      <c r="F50" s="41">
        <v>0</v>
      </c>
      <c r="G50" s="41">
        <v>0</v>
      </c>
      <c r="H50" s="41">
        <v>0</v>
      </c>
      <c r="I50" s="41">
        <v>0</v>
      </c>
      <c r="J50" s="41">
        <v>0</v>
      </c>
      <c r="K50" s="41">
        <v>0</v>
      </c>
      <c r="L50" s="41">
        <v>0</v>
      </c>
      <c r="M50" s="41">
        <v>0</v>
      </c>
      <c r="N50" s="41">
        <v>0</v>
      </c>
      <c r="O50" s="41">
        <f>C50</f>
        <v>9181.19</v>
      </c>
      <c r="P50" s="41">
        <v>0</v>
      </c>
      <c r="Q50" s="41">
        <v>0</v>
      </c>
      <c r="R50" s="41">
        <v>0</v>
      </c>
      <c r="S50" s="41">
        <v>0</v>
      </c>
      <c r="T50" s="41">
        <v>0</v>
      </c>
      <c r="U50" s="41">
        <v>0</v>
      </c>
      <c r="V50" s="41">
        <v>0</v>
      </c>
      <c r="W50" s="41">
        <v>0</v>
      </c>
      <c r="X50" s="41">
        <v>0</v>
      </c>
      <c r="AA50" s="7"/>
      <c r="AB50" s="7"/>
      <c r="AC50" s="7"/>
    </row>
    <row r="51" spans="2:29" x14ac:dyDescent="0.35">
      <c r="B51" s="37" t="s">
        <v>87</v>
      </c>
      <c r="C51" s="29">
        <v>0</v>
      </c>
      <c r="D51" s="41">
        <v>0</v>
      </c>
      <c r="E51" s="41">
        <v>0</v>
      </c>
      <c r="F51" s="41">
        <f>C51</f>
        <v>0</v>
      </c>
      <c r="G51" s="41">
        <v>0</v>
      </c>
      <c r="H51" s="41">
        <v>0</v>
      </c>
      <c r="I51" s="41">
        <v>0</v>
      </c>
      <c r="J51" s="41">
        <v>0</v>
      </c>
      <c r="K51" s="41">
        <v>0</v>
      </c>
      <c r="L51" s="41">
        <v>0</v>
      </c>
      <c r="M51" s="41">
        <v>0</v>
      </c>
      <c r="N51" s="41">
        <v>0</v>
      </c>
      <c r="O51" s="41">
        <v>0</v>
      </c>
      <c r="P51" s="41">
        <v>0</v>
      </c>
      <c r="Q51" s="41">
        <v>0</v>
      </c>
      <c r="R51" s="41">
        <v>0</v>
      </c>
      <c r="S51" s="41">
        <v>0</v>
      </c>
      <c r="T51" s="41">
        <v>0</v>
      </c>
      <c r="U51" s="41">
        <v>0</v>
      </c>
      <c r="V51" s="41">
        <v>0</v>
      </c>
      <c r="W51" s="41">
        <v>0</v>
      </c>
      <c r="X51" s="41">
        <v>0</v>
      </c>
      <c r="AA51" s="7"/>
      <c r="AB51" s="7"/>
      <c r="AC51" s="7"/>
    </row>
    <row r="52" spans="2:29" x14ac:dyDescent="0.35">
      <c r="B52" s="37" t="s">
        <v>88</v>
      </c>
      <c r="C52" s="29">
        <f>1838.73</f>
        <v>1838.73</v>
      </c>
      <c r="D52" s="41">
        <v>0</v>
      </c>
      <c r="E52" s="41">
        <v>0</v>
      </c>
      <c r="F52" s="41">
        <v>0</v>
      </c>
      <c r="G52" s="41">
        <f>C52</f>
        <v>1838.73</v>
      </c>
      <c r="H52" s="41">
        <v>0</v>
      </c>
      <c r="I52" s="41">
        <v>0</v>
      </c>
      <c r="J52" s="41">
        <v>0</v>
      </c>
      <c r="K52" s="41">
        <v>0</v>
      </c>
      <c r="L52" s="41">
        <v>0</v>
      </c>
      <c r="M52" s="41">
        <v>0</v>
      </c>
      <c r="N52" s="41">
        <v>0</v>
      </c>
      <c r="O52" s="41">
        <v>0</v>
      </c>
      <c r="P52" s="41">
        <v>0</v>
      </c>
      <c r="Q52" s="41">
        <v>0</v>
      </c>
      <c r="R52" s="41">
        <v>0</v>
      </c>
      <c r="S52" s="41">
        <v>0</v>
      </c>
      <c r="T52" s="41">
        <v>0</v>
      </c>
      <c r="U52" s="41">
        <v>0</v>
      </c>
      <c r="V52" s="41">
        <v>0</v>
      </c>
      <c r="W52" s="41">
        <v>0</v>
      </c>
      <c r="X52" s="41">
        <v>0</v>
      </c>
      <c r="AA52" s="7"/>
      <c r="AB52" s="7"/>
      <c r="AC52" s="7"/>
    </row>
    <row r="53" spans="2:29" x14ac:dyDescent="0.35">
      <c r="B53" s="37" t="s">
        <v>89</v>
      </c>
      <c r="C53" s="29">
        <f>1838.73</f>
        <v>1838.73</v>
      </c>
      <c r="D53" s="41">
        <v>0</v>
      </c>
      <c r="E53" s="41">
        <f>C53</f>
        <v>1838.73</v>
      </c>
      <c r="F53" s="41">
        <v>0</v>
      </c>
      <c r="G53" s="41">
        <v>0</v>
      </c>
      <c r="H53" s="41">
        <v>0</v>
      </c>
      <c r="I53" s="41">
        <v>0</v>
      </c>
      <c r="J53" s="41">
        <v>0</v>
      </c>
      <c r="K53" s="41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41">
        <v>0</v>
      </c>
      <c r="R53" s="41">
        <v>0</v>
      </c>
      <c r="S53" s="41">
        <v>0</v>
      </c>
      <c r="T53" s="41">
        <v>0</v>
      </c>
      <c r="U53" s="41">
        <v>0</v>
      </c>
      <c r="V53" s="41">
        <v>0</v>
      </c>
      <c r="W53" s="41">
        <v>0</v>
      </c>
      <c r="X53" s="41">
        <v>0</v>
      </c>
      <c r="AA53" s="7"/>
      <c r="AB53" s="7"/>
      <c r="AC53" s="7"/>
    </row>
    <row r="54" spans="2:29" x14ac:dyDescent="0.35">
      <c r="B54" s="37" t="s">
        <v>90</v>
      </c>
      <c r="C54" s="29">
        <f>4645.21</f>
        <v>4645.21</v>
      </c>
      <c r="D54" s="41">
        <v>0</v>
      </c>
      <c r="E54" s="41">
        <v>0</v>
      </c>
      <c r="F54" s="41">
        <v>0</v>
      </c>
      <c r="G54" s="41">
        <v>0</v>
      </c>
      <c r="H54" s="41">
        <v>0</v>
      </c>
      <c r="I54" s="41">
        <v>0</v>
      </c>
      <c r="J54" s="41">
        <v>0</v>
      </c>
      <c r="K54" s="41">
        <v>0</v>
      </c>
      <c r="L54" s="41">
        <v>0</v>
      </c>
      <c r="M54" s="41">
        <v>0</v>
      </c>
      <c r="N54" s="41">
        <v>0</v>
      </c>
      <c r="O54" s="41">
        <v>0</v>
      </c>
      <c r="P54" s="41">
        <v>0</v>
      </c>
      <c r="Q54" s="41">
        <v>0</v>
      </c>
      <c r="R54" s="41">
        <v>0</v>
      </c>
      <c r="S54" s="41">
        <v>0</v>
      </c>
      <c r="T54" s="41">
        <v>0</v>
      </c>
      <c r="U54" s="41">
        <f>C54</f>
        <v>4645.21</v>
      </c>
      <c r="V54" s="41">
        <v>0</v>
      </c>
      <c r="W54" s="41">
        <v>0</v>
      </c>
      <c r="X54" s="41">
        <v>0</v>
      </c>
      <c r="AA54" s="7"/>
      <c r="AB54" s="7"/>
      <c r="AC54" s="7"/>
    </row>
    <row r="55" spans="2:29" x14ac:dyDescent="0.35">
      <c r="B55" s="37" t="s">
        <v>91</v>
      </c>
      <c r="C55" s="29">
        <f>44386.08</f>
        <v>44386.080000000002</v>
      </c>
      <c r="D55" s="41">
        <v>0</v>
      </c>
      <c r="E55" s="41">
        <v>0</v>
      </c>
      <c r="F55" s="41">
        <v>0</v>
      </c>
      <c r="G55" s="41">
        <v>0</v>
      </c>
      <c r="H55" s="41">
        <v>0</v>
      </c>
      <c r="I55" s="41">
        <v>0</v>
      </c>
      <c r="J55" s="41">
        <v>0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41">
        <v>0</v>
      </c>
      <c r="T55" s="41">
        <v>0</v>
      </c>
      <c r="U55" s="41">
        <v>0</v>
      </c>
      <c r="V55" s="41">
        <v>0</v>
      </c>
      <c r="W55" s="41">
        <v>0</v>
      </c>
      <c r="X55" s="41">
        <f>C55</f>
        <v>44386.080000000002</v>
      </c>
      <c r="AA55" s="7"/>
      <c r="AB55" s="7"/>
      <c r="AC55" s="7"/>
    </row>
    <row r="56" spans="2:29" x14ac:dyDescent="0.35">
      <c r="B56" s="37" t="s">
        <v>113</v>
      </c>
      <c r="C56" s="29">
        <f>5574.25+36202.96</f>
        <v>41777.21</v>
      </c>
      <c r="D56" s="41">
        <f>C56</f>
        <v>41777.21</v>
      </c>
      <c r="E56" s="41">
        <v>0</v>
      </c>
      <c r="F56" s="41">
        <v>0</v>
      </c>
      <c r="G56" s="41">
        <v>0</v>
      </c>
      <c r="H56" s="41">
        <v>0</v>
      </c>
      <c r="I56" s="41">
        <v>0</v>
      </c>
      <c r="J56" s="41">
        <v>0</v>
      </c>
      <c r="K56" s="41">
        <v>0</v>
      </c>
      <c r="L56" s="41">
        <v>0</v>
      </c>
      <c r="M56" s="41">
        <v>0</v>
      </c>
      <c r="N56" s="41">
        <v>0</v>
      </c>
      <c r="O56" s="41">
        <v>0</v>
      </c>
      <c r="P56" s="41">
        <v>0</v>
      </c>
      <c r="Q56" s="41">
        <v>0</v>
      </c>
      <c r="R56" s="41">
        <v>0</v>
      </c>
      <c r="S56" s="41">
        <v>0</v>
      </c>
      <c r="T56" s="41">
        <v>0</v>
      </c>
      <c r="U56" s="41">
        <v>0</v>
      </c>
      <c r="V56" s="41">
        <v>0</v>
      </c>
      <c r="W56" s="41">
        <v>0</v>
      </c>
      <c r="X56" s="41">
        <v>0</v>
      </c>
      <c r="AA56" s="7"/>
      <c r="AB56" s="7"/>
      <c r="AC56" s="7"/>
    </row>
    <row r="57" spans="2:29" x14ac:dyDescent="0.35">
      <c r="B57" s="37" t="s">
        <v>363</v>
      </c>
      <c r="C57" s="29">
        <v>22136.16</v>
      </c>
      <c r="D57" s="41">
        <v>0</v>
      </c>
      <c r="E57" s="41">
        <v>0</v>
      </c>
      <c r="F57" s="41">
        <v>0</v>
      </c>
      <c r="G57" s="41">
        <v>0</v>
      </c>
      <c r="H57" s="41">
        <v>0</v>
      </c>
      <c r="I57" s="41">
        <v>0</v>
      </c>
      <c r="J57" s="41">
        <v>0</v>
      </c>
      <c r="K57" s="41">
        <v>0</v>
      </c>
      <c r="L57" s="41">
        <v>0</v>
      </c>
      <c r="M57" s="41">
        <v>0</v>
      </c>
      <c r="N57" s="41">
        <v>0</v>
      </c>
      <c r="O57" s="41">
        <v>0</v>
      </c>
      <c r="P57" s="41">
        <v>0</v>
      </c>
      <c r="Q57" s="41">
        <v>0</v>
      </c>
      <c r="R57" s="41">
        <v>0</v>
      </c>
      <c r="S57" s="41">
        <v>0</v>
      </c>
      <c r="T57" s="41">
        <v>0</v>
      </c>
      <c r="U57" s="41">
        <v>0</v>
      </c>
      <c r="V57" s="41">
        <v>0</v>
      </c>
      <c r="W57" s="41">
        <f>C57</f>
        <v>22136.16</v>
      </c>
      <c r="X57" s="41">
        <v>0</v>
      </c>
      <c r="AA57" s="7"/>
      <c r="AB57" s="7"/>
      <c r="AC57" s="7"/>
    </row>
    <row r="58" spans="2:29" x14ac:dyDescent="0.35">
      <c r="B58" s="37" t="s">
        <v>338</v>
      </c>
      <c r="C58" s="29">
        <v>22136.16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41">
        <v>0</v>
      </c>
      <c r="K58" s="41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41">
        <v>0</v>
      </c>
      <c r="R58" s="41">
        <v>0</v>
      </c>
      <c r="S58" s="41">
        <v>0</v>
      </c>
      <c r="T58" s="41">
        <v>0</v>
      </c>
      <c r="U58" s="41">
        <v>0</v>
      </c>
      <c r="V58" s="41">
        <f>C58</f>
        <v>22136.16</v>
      </c>
      <c r="W58" s="41">
        <f>D58</f>
        <v>0</v>
      </c>
      <c r="X58" s="41">
        <v>0</v>
      </c>
      <c r="AA58" s="7"/>
      <c r="AB58" s="7"/>
      <c r="AC58" s="7"/>
    </row>
    <row r="59" spans="2:29" x14ac:dyDescent="0.35">
      <c r="B59" s="40" t="s">
        <v>361</v>
      </c>
      <c r="C59" s="29">
        <v>0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41">
        <v>0</v>
      </c>
      <c r="K59" s="41">
        <v>0</v>
      </c>
      <c r="L59" s="41">
        <v>0</v>
      </c>
      <c r="M59" s="41">
        <v>0</v>
      </c>
      <c r="N59" s="41">
        <v>0</v>
      </c>
      <c r="O59" s="41">
        <v>0</v>
      </c>
      <c r="P59" s="41">
        <v>0</v>
      </c>
      <c r="Q59" s="41">
        <v>0</v>
      </c>
      <c r="R59" s="41">
        <v>0</v>
      </c>
      <c r="S59" s="41">
        <v>0</v>
      </c>
      <c r="T59" s="41">
        <v>0</v>
      </c>
      <c r="U59" s="41">
        <v>0</v>
      </c>
      <c r="V59" s="41">
        <v>0</v>
      </c>
      <c r="W59" s="41">
        <v>0</v>
      </c>
      <c r="X59" s="41">
        <v>0</v>
      </c>
      <c r="AA59" s="7"/>
      <c r="AB59" s="7"/>
      <c r="AC59" s="7"/>
    </row>
    <row r="60" spans="2:29" x14ac:dyDescent="0.35">
      <c r="B60" s="67" t="s">
        <v>76</v>
      </c>
      <c r="C60" s="68">
        <f t="shared" ref="C60:X60" si="22">SUM(C33:C59)</f>
        <v>291756.22999999992</v>
      </c>
      <c r="D60" s="68">
        <f>SUM(D33:D59)</f>
        <v>52123.804400000001</v>
      </c>
      <c r="E60" s="68">
        <f t="shared" si="22"/>
        <v>7086.4465353186661</v>
      </c>
      <c r="F60" s="68">
        <f t="shared" si="22"/>
        <v>5247.7165353186665</v>
      </c>
      <c r="G60" s="68">
        <f t="shared" si="22"/>
        <v>7086.4465353186661</v>
      </c>
      <c r="H60" s="68">
        <f t="shared" si="22"/>
        <v>8523.4281250000004</v>
      </c>
      <c r="I60" s="68">
        <f t="shared" si="22"/>
        <v>11422.064274999999</v>
      </c>
      <c r="J60" s="68">
        <f t="shared" si="22"/>
        <v>11131.734275000001</v>
      </c>
      <c r="K60" s="68">
        <f t="shared" si="22"/>
        <v>5777.0821375000005</v>
      </c>
      <c r="L60" s="68">
        <f t="shared" si="22"/>
        <v>5777.0821375000005</v>
      </c>
      <c r="M60" s="68">
        <f t="shared" si="22"/>
        <v>2372.9842749999998</v>
      </c>
      <c r="N60" s="68">
        <f t="shared" si="22"/>
        <v>1401.5618750000001</v>
      </c>
      <c r="O60" s="68">
        <f t="shared" si="22"/>
        <v>9181.19</v>
      </c>
      <c r="P60" s="68">
        <f t="shared" si="22"/>
        <v>290.33</v>
      </c>
      <c r="Q60" s="68">
        <f t="shared" si="22"/>
        <v>15032.307375</v>
      </c>
      <c r="R60" s="68">
        <f t="shared" si="22"/>
        <v>13417.907374999999</v>
      </c>
      <c r="S60" s="68">
        <f t="shared" si="22"/>
        <v>13417.907374999999</v>
      </c>
      <c r="T60" s="68">
        <f t="shared" si="22"/>
        <v>13419.477374999999</v>
      </c>
      <c r="U60" s="68">
        <f t="shared" si="22"/>
        <v>20388.359499999999</v>
      </c>
      <c r="V60" s="68">
        <f t="shared" si="22"/>
        <v>22136.16</v>
      </c>
      <c r="W60" s="68">
        <f t="shared" si="22"/>
        <v>22136.16</v>
      </c>
      <c r="X60" s="68">
        <f t="shared" si="22"/>
        <v>44386.080000000002</v>
      </c>
      <c r="AA60" s="7"/>
      <c r="AB60" s="7"/>
      <c r="AC60" s="7"/>
    </row>
    <row r="61" spans="2:29" x14ac:dyDescent="0.35">
      <c r="B61" s="70" t="s">
        <v>92</v>
      </c>
      <c r="C61" s="71">
        <f t="shared" ref="C61:X61" si="23">-C14-C18-C25-C30-C60</f>
        <v>-567237.18609999993</v>
      </c>
      <c r="D61" s="71">
        <f t="shared" si="23"/>
        <v>-118637.013855269</v>
      </c>
      <c r="E61" s="71">
        <f t="shared" si="23"/>
        <v>-22868.578868349585</v>
      </c>
      <c r="F61" s="71">
        <f t="shared" si="23"/>
        <v>-18612.704039599586</v>
      </c>
      <c r="G61" s="71">
        <f t="shared" si="23"/>
        <v>-22868.578868349585</v>
      </c>
      <c r="H61" s="71">
        <f t="shared" si="23"/>
        <v>-9588.9106250000004</v>
      </c>
      <c r="I61" s="71">
        <f t="shared" si="23"/>
        <v>-24759.002328623097</v>
      </c>
      <c r="J61" s="71">
        <f t="shared" si="23"/>
        <v>-22051.527499873104</v>
      </c>
      <c r="K61" s="71">
        <f t="shared" si="23"/>
        <v>-11236.978728626902</v>
      </c>
      <c r="L61" s="71">
        <f t="shared" si="23"/>
        <v>-11236.978728626902</v>
      </c>
      <c r="M61" s="71">
        <f t="shared" si="23"/>
        <v>-10178.879907873099</v>
      </c>
      <c r="N61" s="71">
        <f t="shared" si="23"/>
        <v>-1472.5940558731002</v>
      </c>
      <c r="O61" s="71">
        <f t="shared" si="23"/>
        <v>-12295.087592</v>
      </c>
      <c r="P61" s="71">
        <f t="shared" si="23"/>
        <v>-2707.4748287500001</v>
      </c>
      <c r="Q61" s="71">
        <f t="shared" si="23"/>
        <v>-18924.679365</v>
      </c>
      <c r="R61" s="71">
        <f t="shared" si="23"/>
        <v>-26978.858679999998</v>
      </c>
      <c r="S61" s="71">
        <f t="shared" si="23"/>
        <v>-26978.858679999998</v>
      </c>
      <c r="T61" s="71">
        <f t="shared" si="23"/>
        <v>-26980.428679999997</v>
      </c>
      <c r="U61" s="71">
        <f t="shared" si="23"/>
        <v>-59062.676760000002</v>
      </c>
      <c r="V61" s="71">
        <f t="shared" si="23"/>
        <v>-29920.903979999999</v>
      </c>
      <c r="W61" s="71">
        <f t="shared" si="23"/>
        <v>-29920.903979999999</v>
      </c>
      <c r="X61" s="71">
        <f t="shared" si="23"/>
        <v>-59955.56796</v>
      </c>
      <c r="AA61" s="7"/>
      <c r="AB61" s="7"/>
      <c r="AC61" s="7"/>
    </row>
    <row r="62" spans="2:29" x14ac:dyDescent="0.35">
      <c r="D62" s="7"/>
    </row>
    <row r="63" spans="2:29" x14ac:dyDescent="0.35">
      <c r="C63" s="1"/>
      <c r="D63" s="7"/>
    </row>
    <row r="64" spans="2:29" x14ac:dyDescent="0.35">
      <c r="C64" s="7"/>
      <c r="T64" s="7"/>
    </row>
  </sheetData>
  <mergeCells count="33">
    <mergeCell ref="W31:W32"/>
    <mergeCell ref="V31:V32"/>
    <mergeCell ref="R31:R32"/>
    <mergeCell ref="P31:P32"/>
    <mergeCell ref="U31:U32"/>
    <mergeCell ref="J31:J32"/>
    <mergeCell ref="K31:K32"/>
    <mergeCell ref="S31:S32"/>
    <mergeCell ref="N31:N32"/>
    <mergeCell ref="T31:T32"/>
    <mergeCell ref="Q31:Q32"/>
    <mergeCell ref="O31:O32"/>
    <mergeCell ref="G31:G32"/>
    <mergeCell ref="H31:H32"/>
    <mergeCell ref="D31:D32"/>
    <mergeCell ref="E31:E32"/>
    <mergeCell ref="I31:I32"/>
    <mergeCell ref="B2:X4"/>
    <mergeCell ref="B31:B32"/>
    <mergeCell ref="B5:X6"/>
    <mergeCell ref="B7:B8"/>
    <mergeCell ref="C7:C8"/>
    <mergeCell ref="B15:B16"/>
    <mergeCell ref="C26:C27"/>
    <mergeCell ref="B19:B20"/>
    <mergeCell ref="B26:B27"/>
    <mergeCell ref="C15:C16"/>
    <mergeCell ref="C19:C20"/>
    <mergeCell ref="X31:X32"/>
    <mergeCell ref="M31:M32"/>
    <mergeCell ref="C31:C32"/>
    <mergeCell ref="L31:L32"/>
    <mergeCell ref="F31:F32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36" orientation="landscape" r:id="rId1"/>
  <ignoredErrors>
    <ignoredError sqref="M35 K3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52"/>
  <sheetViews>
    <sheetView showGridLines="0" zoomScale="80" zoomScaleNormal="80" zoomScalePageLayoutView="84" workbookViewId="0">
      <pane ySplit="6" topLeftCell="A13" activePane="bottomLeft" state="frozen"/>
      <selection pane="bottomLeft" activeCell="F43" sqref="F43"/>
    </sheetView>
  </sheetViews>
  <sheetFormatPr defaultColWidth="18.54296875" defaultRowHeight="14.5" x14ac:dyDescent="0.35"/>
  <cols>
    <col min="1" max="1" width="8.54296875" customWidth="1"/>
    <col min="2" max="2" width="46.54296875" customWidth="1"/>
    <col min="3" max="3" width="23.26953125" style="2" bestFit="1" customWidth="1"/>
    <col min="4" max="4" width="23.453125" style="2" bestFit="1" customWidth="1"/>
    <col min="5" max="5" width="24.54296875" style="2" bestFit="1" customWidth="1"/>
    <col min="6" max="6" width="18.54296875" style="2" customWidth="1"/>
    <col min="7" max="9" width="18.54296875" style="2"/>
    <col min="10" max="10" width="18.54296875" style="10"/>
    <col min="11" max="16384" width="18.54296875" style="2"/>
  </cols>
  <sheetData>
    <row r="1" spans="2:15" x14ac:dyDescent="0.35">
      <c r="J1" s="2"/>
    </row>
    <row r="2" spans="2:15" x14ac:dyDescent="0.35">
      <c r="C2"/>
      <c r="D2"/>
      <c r="E2"/>
      <c r="F2"/>
      <c r="J2" s="2"/>
    </row>
    <row r="3" spans="2:15" x14ac:dyDescent="0.35">
      <c r="C3"/>
      <c r="D3"/>
      <c r="E3"/>
      <c r="F3"/>
      <c r="J3" s="2"/>
    </row>
    <row r="4" spans="2:15" x14ac:dyDescent="0.35">
      <c r="C4"/>
      <c r="D4"/>
      <c r="E4"/>
      <c r="F4"/>
      <c r="J4" s="2"/>
    </row>
    <row r="5" spans="2:15" customFormat="1" ht="17.5" x14ac:dyDescent="0.35">
      <c r="B5" s="73" t="s">
        <v>377</v>
      </c>
      <c r="C5" s="73"/>
      <c r="D5" s="73"/>
      <c r="E5" s="73"/>
      <c r="F5" s="73"/>
      <c r="G5" s="2"/>
      <c r="H5" s="2"/>
      <c r="I5" s="2"/>
      <c r="J5" s="2"/>
      <c r="K5" s="2"/>
      <c r="L5" s="2"/>
      <c r="M5" s="2"/>
      <c r="N5" s="2"/>
      <c r="O5" s="2"/>
    </row>
    <row r="6" spans="2:15" customFormat="1" ht="16" customHeight="1" x14ac:dyDescent="0.35">
      <c r="B6" s="50"/>
      <c r="C6" s="55" t="s">
        <v>93</v>
      </c>
      <c r="D6" s="55" t="s">
        <v>94</v>
      </c>
      <c r="E6" s="55" t="s">
        <v>95</v>
      </c>
      <c r="F6" s="55" t="s">
        <v>96</v>
      </c>
      <c r="G6" s="2"/>
      <c r="H6" s="2"/>
      <c r="I6" s="2"/>
      <c r="J6" s="2"/>
      <c r="K6" s="2"/>
      <c r="L6" s="2"/>
      <c r="M6" s="2"/>
      <c r="N6" s="2"/>
      <c r="O6" s="2"/>
    </row>
    <row r="7" spans="2:15" ht="15.5" x14ac:dyDescent="0.35">
      <c r="B7" s="53" t="s">
        <v>112</v>
      </c>
      <c r="C7" s="61">
        <v>18842.931618313189</v>
      </c>
      <c r="D7" s="51">
        <f>'Dist. Receitas'!N303</f>
        <v>124254.23</v>
      </c>
      <c r="E7" s="51">
        <f>'Dist. Despesas'!D61</f>
        <v>-118637.013855269</v>
      </c>
      <c r="F7" s="51">
        <f>C7+D7+E7</f>
        <v>24460.147763044166</v>
      </c>
      <c r="G7" s="10"/>
      <c r="H7" s="5"/>
      <c r="J7" s="2"/>
    </row>
    <row r="8" spans="2:15" ht="10" customHeight="1" x14ac:dyDescent="0.35">
      <c r="B8" s="54"/>
      <c r="C8" s="62"/>
      <c r="D8" s="52"/>
      <c r="E8" s="52"/>
      <c r="F8" s="52"/>
      <c r="G8" s="10"/>
      <c r="H8" s="5"/>
      <c r="J8" s="2"/>
    </row>
    <row r="9" spans="2:15" ht="15.5" x14ac:dyDescent="0.35">
      <c r="B9" s="53" t="s">
        <v>97</v>
      </c>
      <c r="C9" s="61">
        <v>9797.9069288256542</v>
      </c>
      <c r="D9" s="51">
        <f>'Dist. Receitas'!O303</f>
        <v>19462.523361141291</v>
      </c>
      <c r="E9" s="51">
        <f>'Dist. Despesas'!E61</f>
        <v>-22868.578868349585</v>
      </c>
      <c r="F9" s="51">
        <f>C9+D9+E9</f>
        <v>6391.8514216173608</v>
      </c>
      <c r="G9" s="10"/>
      <c r="H9" s="5"/>
      <c r="J9" s="2"/>
    </row>
    <row r="10" spans="2:15" ht="10" customHeight="1" x14ac:dyDescent="0.35">
      <c r="B10" s="54"/>
      <c r="C10" s="62"/>
      <c r="D10" s="52"/>
      <c r="E10" s="52"/>
      <c r="F10" s="52"/>
      <c r="G10" s="10"/>
      <c r="H10" s="5"/>
      <c r="J10" s="2"/>
    </row>
    <row r="11" spans="2:15" ht="15.5" x14ac:dyDescent="0.35">
      <c r="B11" s="53" t="s">
        <v>98</v>
      </c>
      <c r="C11" s="61">
        <v>-41773.088285768084</v>
      </c>
      <c r="D11" s="51">
        <f>'Dist. Receitas'!P303</f>
        <v>16389.493486141298</v>
      </c>
      <c r="E11" s="51">
        <f>'Dist. Despesas'!F61</f>
        <v>-18612.704039599586</v>
      </c>
      <c r="F11" s="51">
        <f>C11+D11+E11</f>
        <v>-43996.298839226372</v>
      </c>
      <c r="G11" s="10"/>
      <c r="H11" s="5"/>
      <c r="J11" s="2"/>
    </row>
    <row r="12" spans="2:15" ht="10" customHeight="1" x14ac:dyDescent="0.35">
      <c r="B12" s="54"/>
      <c r="C12" s="62"/>
      <c r="D12" s="52"/>
      <c r="E12" s="52"/>
      <c r="F12" s="52"/>
      <c r="G12" s="10"/>
      <c r="H12" s="5"/>
      <c r="I12" s="57"/>
      <c r="J12" s="56"/>
      <c r="K12" s="56"/>
      <c r="L12" s="56"/>
    </row>
    <row r="13" spans="2:15" ht="15.5" x14ac:dyDescent="0.35">
      <c r="B13" s="53" t="s">
        <v>99</v>
      </c>
      <c r="C13" s="61">
        <v>15584.596928825653</v>
      </c>
      <c r="D13" s="51">
        <f>'Dist. Receitas'!Q303</f>
        <v>19462.523361141291</v>
      </c>
      <c r="E13" s="51">
        <f>'Dist. Despesas'!G61</f>
        <v>-22868.578868349585</v>
      </c>
      <c r="F13" s="51">
        <f>C13+D13+E13</f>
        <v>12178.541421617359</v>
      </c>
      <c r="G13" s="10"/>
      <c r="H13" s="5"/>
      <c r="I13" s="10"/>
      <c r="K13" s="45"/>
      <c r="L13" s="10"/>
    </row>
    <row r="14" spans="2:15" ht="10" customHeight="1" x14ac:dyDescent="0.35">
      <c r="B14" s="54"/>
      <c r="C14" s="62"/>
      <c r="D14" s="52"/>
      <c r="E14" s="52"/>
      <c r="F14" s="52"/>
      <c r="G14" s="10"/>
      <c r="H14" s="5"/>
    </row>
    <row r="15" spans="2:15" ht="15.5" x14ac:dyDescent="0.35">
      <c r="B15" s="53" t="s">
        <v>340</v>
      </c>
      <c r="C15" s="61">
        <v>9582.7119800000655</v>
      </c>
      <c r="D15" s="51">
        <f>'Dist. Receitas'!AF303</f>
        <v>30485.510999999999</v>
      </c>
      <c r="E15" s="51">
        <f>'Dist. Despesas'!V61</f>
        <v>-29920.903979999999</v>
      </c>
      <c r="F15" s="51">
        <f>C15+D15+E15</f>
        <v>10147.319000000065</v>
      </c>
      <c r="G15" s="10"/>
      <c r="H15" s="5"/>
    </row>
    <row r="16" spans="2:15" ht="10" customHeight="1" x14ac:dyDescent="0.35">
      <c r="B16" s="54"/>
      <c r="C16" s="62"/>
      <c r="D16" s="52"/>
      <c r="E16" s="52"/>
      <c r="F16" s="52"/>
      <c r="G16" s="10"/>
      <c r="H16" s="5"/>
    </row>
    <row r="17" spans="2:9" ht="15.5" x14ac:dyDescent="0.35">
      <c r="B17" s="53" t="s">
        <v>365</v>
      </c>
      <c r="C17" s="61">
        <v>9582.7110400000674</v>
      </c>
      <c r="D17" s="51">
        <f>'Dist. Receitas'!AG303</f>
        <v>30485.510999999999</v>
      </c>
      <c r="E17" s="51">
        <f>'Dist. Despesas'!W61</f>
        <v>-29920.903979999999</v>
      </c>
      <c r="F17" s="51">
        <f>C17+D17+E17</f>
        <v>10147.318060000067</v>
      </c>
      <c r="G17" s="10"/>
      <c r="H17" s="5"/>
    </row>
    <row r="18" spans="2:9" ht="10" customHeight="1" x14ac:dyDescent="0.35">
      <c r="B18" s="54"/>
      <c r="C18" s="62"/>
      <c r="D18" s="52"/>
      <c r="E18" s="52"/>
      <c r="F18" s="52"/>
      <c r="G18" s="10"/>
      <c r="H18" s="5"/>
    </row>
    <row r="19" spans="2:9" ht="15.5" x14ac:dyDescent="0.35">
      <c r="B19" s="53" t="s">
        <v>100</v>
      </c>
      <c r="C19" s="61">
        <v>11411.458902818722</v>
      </c>
      <c r="D19" s="51">
        <f>'Dist. Receitas'!S303</f>
        <v>24678.489874999999</v>
      </c>
      <c r="E19" s="51">
        <f>'Dist. Despesas'!I61</f>
        <v>-24759.002328623097</v>
      </c>
      <c r="F19" s="51">
        <f>C19+D19+E19</f>
        <v>11330.946449195621</v>
      </c>
      <c r="G19" s="10"/>
      <c r="H19" s="5"/>
      <c r="I19" s="5"/>
    </row>
    <row r="20" spans="2:9" ht="10" customHeight="1" x14ac:dyDescent="0.35">
      <c r="B20" s="54"/>
      <c r="C20" s="62"/>
      <c r="D20" s="52"/>
      <c r="E20" s="52"/>
      <c r="F20" s="52"/>
      <c r="G20" s="10"/>
      <c r="H20" s="5"/>
    </row>
    <row r="21" spans="2:9" ht="15.5" x14ac:dyDescent="0.35">
      <c r="B21" s="53" t="s">
        <v>101</v>
      </c>
      <c r="C21" s="61">
        <v>7484.6618265686666</v>
      </c>
      <c r="D21" s="51">
        <f>'Dist. Receitas'!T303</f>
        <v>21605.459999999995</v>
      </c>
      <c r="E21" s="51">
        <f>'Dist. Despesas'!J61</f>
        <v>-22051.527499873104</v>
      </c>
      <c r="F21" s="51">
        <f>C21+D21+E21</f>
        <v>7038.5943266955583</v>
      </c>
      <c r="G21" s="10"/>
      <c r="H21" s="5"/>
      <c r="I21" s="5"/>
    </row>
    <row r="22" spans="2:9" ht="10" customHeight="1" x14ac:dyDescent="0.35">
      <c r="B22" s="54"/>
      <c r="C22" s="62"/>
      <c r="D22" s="52"/>
      <c r="E22" s="52"/>
      <c r="F22" s="52"/>
      <c r="G22" s="10"/>
      <c r="H22" s="5"/>
    </row>
    <row r="23" spans="2:9" ht="15.5" x14ac:dyDescent="0.35">
      <c r="B23" s="53" t="s">
        <v>351</v>
      </c>
      <c r="C23" s="61">
        <v>1468.8561764312726</v>
      </c>
      <c r="D23" s="51">
        <f>'Dist. Receitas'!U303</f>
        <v>11013.949999999997</v>
      </c>
      <c r="E23" s="51">
        <f>'Dist. Despesas'!K61</f>
        <v>-11236.978728626902</v>
      </c>
      <c r="F23" s="51">
        <f>C23+D23+E23</f>
        <v>1245.8274478043677</v>
      </c>
      <c r="G23" s="10"/>
      <c r="H23" s="5"/>
      <c r="I23" s="5"/>
    </row>
    <row r="24" spans="2:9" ht="10" customHeight="1" x14ac:dyDescent="0.35">
      <c r="B24" s="54"/>
      <c r="C24" s="62"/>
      <c r="D24" s="52"/>
      <c r="E24" s="52"/>
      <c r="F24" s="52"/>
      <c r="G24" s="10"/>
      <c r="H24" s="5"/>
    </row>
    <row r="25" spans="2:9" ht="15.5" x14ac:dyDescent="0.35">
      <c r="B25" s="53" t="s">
        <v>350</v>
      </c>
      <c r="C25" s="61">
        <v>1468.8561764312726</v>
      </c>
      <c r="D25" s="51">
        <f>'Dist. Receitas'!V303</f>
        <v>11013.949999999997</v>
      </c>
      <c r="E25" s="51">
        <f>'Dist. Despesas'!L61</f>
        <v>-11236.978728626902</v>
      </c>
      <c r="F25" s="51">
        <f>C25+D25+E25</f>
        <v>1245.8274478043677</v>
      </c>
      <c r="G25" s="10"/>
      <c r="H25" s="5"/>
      <c r="I25" s="5"/>
    </row>
    <row r="26" spans="2:9" ht="10" customHeight="1" x14ac:dyDescent="0.35">
      <c r="B26" s="54"/>
      <c r="C26" s="62"/>
      <c r="D26" s="52"/>
      <c r="E26" s="52"/>
      <c r="F26" s="52"/>
      <c r="G26" s="10"/>
      <c r="H26" s="5"/>
    </row>
    <row r="27" spans="2:9" ht="15.5" x14ac:dyDescent="0.35">
      <c r="B27" s="53" t="s">
        <v>102</v>
      </c>
      <c r="C27" s="61">
        <v>-392.06140543129982</v>
      </c>
      <c r="D27" s="51">
        <f>'Dist. Receitas'!X303</f>
        <v>0</v>
      </c>
      <c r="E27" s="51">
        <f>'Dist. Despesas'!N61</f>
        <v>-1472.5940558731002</v>
      </c>
      <c r="F27" s="51">
        <f>C27+D27+E27</f>
        <v>-1864.6554613044</v>
      </c>
      <c r="G27" s="10"/>
      <c r="H27" s="5"/>
      <c r="I27" s="5"/>
    </row>
    <row r="28" spans="2:9" ht="10" customHeight="1" x14ac:dyDescent="0.35">
      <c r="B28" s="54"/>
      <c r="C28" s="62"/>
      <c r="D28" s="52"/>
      <c r="E28" s="52"/>
      <c r="F28" s="52"/>
      <c r="G28" s="10"/>
      <c r="H28" s="5"/>
    </row>
    <row r="29" spans="2:9" ht="15.5" x14ac:dyDescent="0.35">
      <c r="B29" s="53" t="s">
        <v>103</v>
      </c>
      <c r="C29" s="61">
        <v>343.91149056867653</v>
      </c>
      <c r="D29" s="51">
        <f>'Dist. Receitas'!W303</f>
        <v>9833.6955999999973</v>
      </c>
      <c r="E29" s="51">
        <f>'Dist. Despesas'!M61</f>
        <v>-10178.879907873099</v>
      </c>
      <c r="F29" s="51">
        <f>C29+D29+E29</f>
        <v>-1.2728173044251889</v>
      </c>
      <c r="G29" s="10"/>
      <c r="H29" s="5"/>
      <c r="I29" s="5"/>
    </row>
    <row r="30" spans="2:9" ht="10" customHeight="1" x14ac:dyDescent="0.35">
      <c r="B30" s="54"/>
      <c r="C30" s="62"/>
      <c r="D30" s="52"/>
      <c r="E30" s="52"/>
      <c r="F30" s="52"/>
      <c r="G30" s="10"/>
      <c r="H30" s="5"/>
    </row>
    <row r="31" spans="2:9" ht="16" customHeight="1" x14ac:dyDescent="0.35">
      <c r="B31" s="59" t="s">
        <v>368</v>
      </c>
      <c r="C31" s="63">
        <v>-7198.3976800000073</v>
      </c>
      <c r="D31" s="58">
        <f>'Dist. Receitas'!Y303</f>
        <v>12194.204400000001</v>
      </c>
      <c r="E31" s="58">
        <f>'Dist. Despesas'!O61</f>
        <v>-12295.087592</v>
      </c>
      <c r="F31" s="58">
        <f>C31+D31+E31</f>
        <v>-7299.2808720000066</v>
      </c>
      <c r="G31" s="10"/>
      <c r="H31" s="5"/>
    </row>
    <row r="32" spans="2:9" ht="10" customHeight="1" x14ac:dyDescent="0.35">
      <c r="B32" s="54"/>
      <c r="C32" s="62"/>
      <c r="D32" s="52"/>
      <c r="E32" s="52"/>
      <c r="F32" s="52"/>
      <c r="G32" s="10"/>
      <c r="H32" s="5"/>
    </row>
    <row r="33" spans="2:9" ht="15.5" x14ac:dyDescent="0.35">
      <c r="B33" s="53" t="s">
        <v>120</v>
      </c>
      <c r="C33" s="61">
        <v>0</v>
      </c>
      <c r="D33" s="51">
        <v>0</v>
      </c>
      <c r="E33" s="51">
        <f>'Dist. Despesas'!M63</f>
        <v>0</v>
      </c>
      <c r="F33" s="51">
        <f>C33+D33+E33</f>
        <v>0</v>
      </c>
      <c r="G33" s="10"/>
      <c r="H33" s="5"/>
      <c r="I33" s="10"/>
    </row>
    <row r="34" spans="2:9" ht="10" customHeight="1" x14ac:dyDescent="0.35">
      <c r="B34" s="54"/>
      <c r="C34" s="62"/>
      <c r="D34" s="52"/>
      <c r="E34" s="52"/>
      <c r="F34" s="52"/>
      <c r="G34" s="10"/>
      <c r="H34" s="5"/>
      <c r="I34" s="10"/>
    </row>
    <row r="35" spans="2:9" ht="15.5" x14ac:dyDescent="0.35">
      <c r="B35" s="53" t="s">
        <v>104</v>
      </c>
      <c r="C35" s="61">
        <v>-1485.2629249999736</v>
      </c>
      <c r="D35" s="51">
        <f>'Dist. Receitas'!AA303</f>
        <v>14445.7855</v>
      </c>
      <c r="E35" s="51">
        <f>'Dist. Despesas'!Q61</f>
        <v>-18924.679365</v>
      </c>
      <c r="F35" s="51">
        <f>C35+D35+E35</f>
        <v>-5964.1567899999736</v>
      </c>
      <c r="G35" s="10"/>
      <c r="H35" s="5"/>
      <c r="I35" s="10"/>
    </row>
    <row r="36" spans="2:9" ht="10" customHeight="1" x14ac:dyDescent="0.35">
      <c r="B36" s="54"/>
      <c r="C36" s="62"/>
      <c r="D36" s="52"/>
      <c r="E36" s="52"/>
      <c r="F36" s="52"/>
      <c r="G36" s="10"/>
      <c r="H36" s="5"/>
      <c r="I36" s="10"/>
    </row>
    <row r="37" spans="2:9" ht="15.5" x14ac:dyDescent="0.35">
      <c r="B37" s="53" t="s">
        <v>105</v>
      </c>
      <c r="C37" s="61">
        <v>19689.100729999958</v>
      </c>
      <c r="D37" s="51">
        <f>'Dist. Receitas'!AB303</f>
        <v>26737.905000000006</v>
      </c>
      <c r="E37" s="51">
        <f>'Dist. Despesas'!R61</f>
        <v>-26978.858679999998</v>
      </c>
      <c r="F37" s="51">
        <f>C37+D37+E37</f>
        <v>19448.147049999963</v>
      </c>
      <c r="G37" s="10"/>
      <c r="H37" s="5"/>
      <c r="I37" s="10"/>
    </row>
    <row r="38" spans="2:9" ht="10" customHeight="1" x14ac:dyDescent="0.35">
      <c r="B38" s="54"/>
      <c r="C38" s="62"/>
      <c r="D38" s="52"/>
      <c r="E38" s="52"/>
      <c r="F38" s="52"/>
      <c r="G38" s="10"/>
      <c r="H38" s="5"/>
      <c r="I38" s="10"/>
    </row>
    <row r="39" spans="2:9" ht="15.5" x14ac:dyDescent="0.35">
      <c r="B39" s="53" t="s">
        <v>106</v>
      </c>
      <c r="C39" s="61">
        <v>13630.040729999972</v>
      </c>
      <c r="D39" s="51">
        <f>'Dist. Receitas'!AC303</f>
        <v>26737.905000000006</v>
      </c>
      <c r="E39" s="51">
        <f>'Dist. Despesas'!S61</f>
        <v>-26978.858679999998</v>
      </c>
      <c r="F39" s="51">
        <f>C39+D39+E39</f>
        <v>13389.08704999998</v>
      </c>
      <c r="G39" s="10"/>
      <c r="H39" s="5"/>
      <c r="I39" s="10"/>
    </row>
    <row r="40" spans="2:9" ht="10" customHeight="1" x14ac:dyDescent="0.35">
      <c r="B40" s="54"/>
      <c r="C40" s="62"/>
      <c r="D40" s="52"/>
      <c r="E40" s="52"/>
      <c r="F40" s="52"/>
      <c r="G40" s="10"/>
      <c r="H40" s="5"/>
      <c r="I40" s="10"/>
    </row>
    <row r="41" spans="2:9" ht="15.5" x14ac:dyDescent="0.35">
      <c r="B41" s="53" t="s">
        <v>107</v>
      </c>
      <c r="C41" s="61">
        <v>16098.500729999934</v>
      </c>
      <c r="D41" s="51">
        <f>'Dist. Receitas'!AD303</f>
        <v>27534.875000000007</v>
      </c>
      <c r="E41" s="51">
        <f>'Dist. Despesas'!T61</f>
        <v>-26980.428679999997</v>
      </c>
      <c r="F41" s="51">
        <f>C41+D41+E41</f>
        <v>16652.947049999944</v>
      </c>
      <c r="G41" s="10"/>
      <c r="H41" s="5"/>
      <c r="I41" s="10"/>
    </row>
    <row r="42" spans="2:9" ht="10" customHeight="1" x14ac:dyDescent="0.35">
      <c r="B42" s="54"/>
      <c r="C42" s="62"/>
      <c r="D42" s="52"/>
      <c r="E42" s="52"/>
      <c r="F42" s="52"/>
      <c r="G42" s="10"/>
      <c r="H42" s="5"/>
    </row>
    <row r="43" spans="2:9" ht="15.5" x14ac:dyDescent="0.35">
      <c r="B43" s="53" t="s">
        <v>108</v>
      </c>
      <c r="C43" s="61">
        <v>53867.068919999772</v>
      </c>
      <c r="D43" s="51">
        <f>'Dist. Receitas'!AE303</f>
        <v>49168.478000000025</v>
      </c>
      <c r="E43" s="51">
        <f>'Dist. Despesas'!U61</f>
        <v>-59062.676760000002</v>
      </c>
      <c r="F43" s="51">
        <f>C43+D43+E43</f>
        <v>43972.870159999788</v>
      </c>
      <c r="G43" s="10"/>
      <c r="H43" s="5"/>
    </row>
    <row r="44" spans="2:9" ht="10" customHeight="1" x14ac:dyDescent="0.35">
      <c r="B44" s="54"/>
      <c r="C44" s="62"/>
      <c r="D44" s="52"/>
      <c r="E44" s="52"/>
      <c r="F44" s="52"/>
      <c r="G44" s="10"/>
      <c r="H44" s="5"/>
    </row>
    <row r="45" spans="2:9" ht="15.5" x14ac:dyDescent="0.35">
      <c r="B45" s="53" t="s">
        <v>109</v>
      </c>
      <c r="C45" s="61">
        <v>-34856.618450000002</v>
      </c>
      <c r="D45" s="51">
        <f>'Dist. Receitas'!R303</f>
        <v>0</v>
      </c>
      <c r="E45" s="51">
        <f>'Dist. Despesas'!H61</f>
        <v>-9588.9106250000004</v>
      </c>
      <c r="F45" s="51">
        <f>C45+D45+E45</f>
        <v>-44445.529074999999</v>
      </c>
      <c r="G45" s="10"/>
      <c r="H45" s="5"/>
    </row>
    <row r="46" spans="2:9" ht="10" customHeight="1" x14ac:dyDescent="0.35">
      <c r="B46" s="54"/>
      <c r="C46" s="62"/>
      <c r="D46" s="52"/>
      <c r="E46" s="52"/>
      <c r="F46" s="52"/>
      <c r="G46" s="10"/>
      <c r="H46" s="5"/>
    </row>
    <row r="47" spans="2:9" ht="15.5" x14ac:dyDescent="0.35">
      <c r="B47" s="53" t="s">
        <v>110</v>
      </c>
      <c r="C47" s="61">
        <v>11220.144000000117</v>
      </c>
      <c r="D47" s="51">
        <f>'Dist. Receitas'!AH303</f>
        <v>60971.021999999997</v>
      </c>
      <c r="E47" s="51">
        <f>'Dist. Despesas'!X61</f>
        <v>-59955.56796</v>
      </c>
      <c r="F47" s="51">
        <f>C47+D47+E47</f>
        <v>12235.598040000114</v>
      </c>
      <c r="G47" s="10"/>
      <c r="H47" s="5"/>
    </row>
    <row r="48" spans="2:9" ht="10" customHeight="1" x14ac:dyDescent="0.35">
      <c r="B48" s="54"/>
      <c r="C48" s="62"/>
      <c r="D48" s="52"/>
      <c r="E48" s="52"/>
      <c r="F48" s="52"/>
      <c r="G48" s="10"/>
      <c r="H48" s="5"/>
    </row>
    <row r="49" spans="2:8" ht="15.5" x14ac:dyDescent="0.35">
      <c r="B49" s="53" t="s">
        <v>118</v>
      </c>
      <c r="C49" s="61">
        <v>1231.2670762499888</v>
      </c>
      <c r="D49" s="51">
        <f>'Dist. Receitas'!Z303</f>
        <v>3073.0298750000015</v>
      </c>
      <c r="E49" s="51">
        <f>'Dist. Despesas'!P61</f>
        <v>-2707.4748287500001</v>
      </c>
      <c r="F49" s="51">
        <f>C49+D49+E49</f>
        <v>1596.8221224999902</v>
      </c>
      <c r="G49" s="10"/>
      <c r="H49" s="5"/>
    </row>
    <row r="51" spans="2:8" x14ac:dyDescent="0.35">
      <c r="G51" s="10"/>
    </row>
    <row r="52" spans="2:8" x14ac:dyDescent="0.35">
      <c r="E52" s="45"/>
    </row>
  </sheetData>
  <mergeCells count="1">
    <mergeCell ref="B5:F5"/>
  </mergeCells>
  <conditionalFormatting sqref="C7:F49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K12:K13">
    <cfRule type="cellIs" dxfId="1" priority="1" operator="lessThan">
      <formula>0</formula>
    </cfRule>
    <cfRule type="cellIs" dxfId="0" priority="2" operator="greaterThan">
      <formula>0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Receitas</vt:lpstr>
      <vt:lpstr>Dist. Receitas</vt:lpstr>
      <vt:lpstr>Dist. Despesas</vt:lpstr>
      <vt:lpstr>Saldo Individual</vt:lpstr>
      <vt:lpstr>'Dist. Despesas'!Area_de_impressao</vt:lpstr>
      <vt:lpstr>'Dist. Receitas'!Area_de_impressao</vt:lpstr>
      <vt:lpstr>Receitas!Area_de_impressao</vt:lpstr>
      <vt:lpstr>'Saldo Individual'!Area_de_impressao</vt:lpstr>
      <vt:lpstr>'Dist. Receitas'!Titulos_de_impressao</vt:lpstr>
      <vt:lpstr>Receitas!Titulos_de_impressao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Fernando-Latitude23</dc:creator>
  <cp:lastModifiedBy>Fernando Caetano Soares</cp:lastModifiedBy>
  <cp:lastPrinted>2026-03-16T16:33:31Z</cp:lastPrinted>
  <dcterms:created xsi:type="dcterms:W3CDTF">2014-10-14T12:48:58Z</dcterms:created>
  <dcterms:modified xsi:type="dcterms:W3CDTF">2026-06-11T20:37:48Z</dcterms:modified>
</cp:coreProperties>
</file>